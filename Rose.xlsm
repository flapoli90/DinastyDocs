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Cippo" sheetId="1" state="visible" r:id="rId2"/>
    <sheet name="Riccardo" sheetId="2" state="visible" r:id="rId3"/>
    <sheet name="Flapo" sheetId="3" state="visible" r:id="rId4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<sst xmlns="http://schemas.openxmlformats.org/spreadsheetml/2006/main" count="328" uniqueCount="157">
  <si>
    <t xml:space="preserve">#</t>
  </si>
  <si>
    <t xml:space="preserve">Ruolo</t>
  </si>
  <si>
    <t xml:space="preserve">Calciatore</t>
  </si>
  <si>
    <t xml:space="preserve">Squadra</t>
  </si>
  <si>
    <t xml:space="preserve">Costo</t>
  </si>
  <si>
    <t xml:space="preserve">Prezzo</t>
  </si>
  <si>
    <t xml:space="preserve">Data Acquisto</t>
  </si>
  <si>
    <t xml:space="preserve">Anni Contratto</t>
  </si>
  <si>
    <t xml:space="preserve">Data Scadenza</t>
  </si>
  <si>
    <t xml:space="preserve">Costo Contratto</t>
  </si>
  <si>
    <t xml:space="preserve">Por</t>
  </si>
  <si>
    <t xml:space="preserve">Falcone</t>
  </si>
  <si>
    <t xml:space="preserve">Lec</t>
  </si>
  <si>
    <t xml:space="preserve">Silvestri</t>
  </si>
  <si>
    <t xml:space="preserve">Udi</t>
  </si>
  <si>
    <t xml:space="preserve">Piana</t>
  </si>
  <si>
    <t xml:space="preserve">Dd;E</t>
  </si>
  <si>
    <t xml:space="preserve">Calabria</t>
  </si>
  <si>
    <t xml:space="preserve">Mil</t>
  </si>
  <si>
    <t xml:space="preserve">Ds;E</t>
  </si>
  <si>
    <t xml:space="preserve">Martin</t>
  </si>
  <si>
    <t xml:space="preserve">Gen</t>
  </si>
  <si>
    <t xml:space="preserve">Dc</t>
  </si>
  <si>
    <t xml:space="preserve">Bremer</t>
  </si>
  <si>
    <t xml:space="preserve">Juv</t>
  </si>
  <si>
    <t xml:space="preserve">Smalling</t>
  </si>
  <si>
    <t xml:space="preserve">Rom</t>
  </si>
  <si>
    <t xml:space="preserve">Dd;Dc</t>
  </si>
  <si>
    <t xml:space="preserve">Dragusin</t>
  </si>
  <si>
    <t xml:space="preserve">Dd;Ds;E</t>
  </si>
  <si>
    <t xml:space="preserve">Mazzocchi</t>
  </si>
  <si>
    <t xml:space="preserve">Sal</t>
  </si>
  <si>
    <t xml:space="preserve">Bijol</t>
  </si>
  <si>
    <t xml:space="preserve">Sambia</t>
  </si>
  <si>
    <t xml:space="preserve">Dd;Ds;Dc</t>
  </si>
  <si>
    <t xml:space="preserve">Oyono</t>
  </si>
  <si>
    <t xml:space="preserve">Fro</t>
  </si>
  <si>
    <t xml:space="preserve">M;C</t>
  </si>
  <si>
    <t xml:space="preserve">Badelj</t>
  </si>
  <si>
    <t xml:space="preserve">W;A</t>
  </si>
  <si>
    <t xml:space="preserve">Felipe Anderson</t>
  </si>
  <si>
    <t xml:space="preserve">Laz</t>
  </si>
  <si>
    <t xml:space="preserve">Gagliardini</t>
  </si>
  <si>
    <t xml:space="preserve">Mon</t>
  </si>
  <si>
    <t xml:space="preserve">C;T</t>
  </si>
  <si>
    <t xml:space="preserve">Kastanos</t>
  </si>
  <si>
    <t xml:space="preserve">W</t>
  </si>
  <si>
    <t xml:space="preserve">Orsolini</t>
  </si>
  <si>
    <t xml:space="preserve">Bol</t>
  </si>
  <si>
    <t xml:space="preserve">Adopo</t>
  </si>
  <si>
    <t xml:space="preserve">Ata</t>
  </si>
  <si>
    <t xml:space="preserve">Samardzic</t>
  </si>
  <si>
    <t xml:space="preserve">Urbanski</t>
  </si>
  <si>
    <t xml:space="preserve">T;A</t>
  </si>
  <si>
    <t xml:space="preserve">Gudmundsson A.</t>
  </si>
  <si>
    <t xml:space="preserve">Baldanzi</t>
  </si>
  <si>
    <t xml:space="preserve">Emp</t>
  </si>
  <si>
    <t xml:space="preserve">Pafundi</t>
  </si>
  <si>
    <t xml:space="preserve">Fazzini</t>
  </si>
  <si>
    <t xml:space="preserve">Pc</t>
  </si>
  <si>
    <t xml:space="preserve">Immobile</t>
  </si>
  <si>
    <t xml:space="preserve">Latte Lath</t>
  </si>
  <si>
    <t xml:space="preserve">Giroud</t>
  </si>
  <si>
    <t xml:space="preserve">A</t>
  </si>
  <si>
    <t xml:space="preserve">Braaf</t>
  </si>
  <si>
    <t xml:space="preserve">Ver</t>
  </si>
  <si>
    <t xml:space="preserve">Ngonge</t>
  </si>
  <si>
    <t xml:space="preserve">Retegui</t>
  </si>
  <si>
    <t xml:space="preserve">Rossi F.</t>
  </si>
  <si>
    <t xml:space="preserve">1</t>
  </si>
  <si>
    <t xml:space="preserve">Musso</t>
  </si>
  <si>
    <t xml:space="preserve">3</t>
  </si>
  <si>
    <t xml:space="preserve">Carnesecchi</t>
  </si>
  <si>
    <t xml:space="preserve">33</t>
  </si>
  <si>
    <t xml:space="preserve">Biraghi</t>
  </si>
  <si>
    <t xml:space="preserve">Fio</t>
  </si>
  <si>
    <t xml:space="preserve">11</t>
  </si>
  <si>
    <t xml:space="preserve">Romagnoli</t>
  </si>
  <si>
    <t xml:space="preserve">16</t>
  </si>
  <si>
    <t xml:space="preserve">Faraoni</t>
  </si>
  <si>
    <t xml:space="preserve">10</t>
  </si>
  <si>
    <t xml:space="preserve">Mancini</t>
  </si>
  <si>
    <t xml:space="preserve">15</t>
  </si>
  <si>
    <t xml:space="preserve">Celik</t>
  </si>
  <si>
    <t xml:space="preserve">E</t>
  </si>
  <si>
    <t xml:space="preserve">Bakker</t>
  </si>
  <si>
    <t xml:space="preserve">Parisi</t>
  </si>
  <si>
    <t xml:space="preserve">Cittadini</t>
  </si>
  <si>
    <t xml:space="preserve">Beukema</t>
  </si>
  <si>
    <t xml:space="preserve">Kristensen</t>
  </si>
  <si>
    <t xml:space="preserve">14</t>
  </si>
  <si>
    <t xml:space="preserve">El Shaarawy</t>
  </si>
  <si>
    <t xml:space="preserve">27</t>
  </si>
  <si>
    <t xml:space="preserve">Mandragora</t>
  </si>
  <si>
    <t xml:space="preserve">Calhanoglu</t>
  </si>
  <si>
    <t xml:space="preserve">Int</t>
  </si>
  <si>
    <t xml:space="preserve">34</t>
  </si>
  <si>
    <t xml:space="preserve">C</t>
  </si>
  <si>
    <t xml:space="preserve">Loftus-Cheek</t>
  </si>
  <si>
    <t xml:space="preserve">Rovella</t>
  </si>
  <si>
    <t xml:space="preserve">6</t>
  </si>
  <si>
    <t xml:space="preserve">T</t>
  </si>
  <si>
    <t xml:space="preserve">De Ketelaere</t>
  </si>
  <si>
    <t xml:space="preserve">Zarraga</t>
  </si>
  <si>
    <t xml:space="preserve">Camara E.</t>
  </si>
  <si>
    <t xml:space="preserve">7</t>
  </si>
  <si>
    <t xml:space="preserve">Reijnders</t>
  </si>
  <si>
    <t xml:space="preserve">41</t>
  </si>
  <si>
    <t xml:space="preserve">Barrow</t>
  </si>
  <si>
    <t xml:space="preserve">22</t>
  </si>
  <si>
    <t xml:space="preserve">Thuram</t>
  </si>
  <si>
    <t xml:space="preserve">102</t>
  </si>
  <si>
    <t xml:space="preserve">Lauriente'</t>
  </si>
  <si>
    <t xml:space="preserve">Sas</t>
  </si>
  <si>
    <t xml:space="preserve">40</t>
  </si>
  <si>
    <t xml:space="preserve">Mulattieri</t>
  </si>
  <si>
    <t xml:space="preserve">20</t>
  </si>
  <si>
    <t xml:space="preserve">Toure' E.</t>
  </si>
  <si>
    <t xml:space="preserve">Skorupski</t>
  </si>
  <si>
    <t xml:space="preserve">Caprile</t>
  </si>
  <si>
    <t xml:space="preserve">Stankovic F.</t>
  </si>
  <si>
    <t xml:space="preserve">Buongiorno</t>
  </si>
  <si>
    <t xml:space="preserve">Tor</t>
  </si>
  <si>
    <t xml:space="preserve">Tomori</t>
  </si>
  <si>
    <t xml:space="preserve">23</t>
  </si>
  <si>
    <t xml:space="preserve">Bellanova</t>
  </si>
  <si>
    <t xml:space="preserve">Viti</t>
  </si>
  <si>
    <t xml:space="preserve">De Winter</t>
  </si>
  <si>
    <t xml:space="preserve">Tressoldi</t>
  </si>
  <si>
    <t xml:space="preserve">5</t>
  </si>
  <si>
    <t xml:space="preserve">Gatti</t>
  </si>
  <si>
    <t xml:space="preserve">Lucumi'</t>
  </si>
  <si>
    <t xml:space="preserve">9</t>
  </si>
  <si>
    <t xml:space="preserve">Rabiot</t>
  </si>
  <si>
    <t xml:space="preserve">Arthur Melo</t>
  </si>
  <si>
    <t xml:space="preserve">E;C</t>
  </si>
  <si>
    <t xml:space="preserve">Nandez</t>
  </si>
  <si>
    <t xml:space="preserve">Cag</t>
  </si>
  <si>
    <t xml:space="preserve">E;W</t>
  </si>
  <si>
    <t xml:space="preserve">Weah</t>
  </si>
  <si>
    <t xml:space="preserve">30</t>
  </si>
  <si>
    <t xml:space="preserve">Dominguez</t>
  </si>
  <si>
    <t xml:space="preserve">18</t>
  </si>
  <si>
    <t xml:space="preserve">Ilic</t>
  </si>
  <si>
    <t xml:space="preserve">12</t>
  </si>
  <si>
    <t xml:space="preserve">Zalewski</t>
  </si>
  <si>
    <t xml:space="preserve">Miretti</t>
  </si>
  <si>
    <t xml:space="preserve">Sanabria</t>
  </si>
  <si>
    <t xml:space="preserve">24</t>
  </si>
  <si>
    <t xml:space="preserve">Chiesa</t>
  </si>
  <si>
    <t xml:space="preserve">45</t>
  </si>
  <si>
    <t xml:space="preserve">Kean</t>
  </si>
  <si>
    <t xml:space="preserve">Jovic</t>
  </si>
  <si>
    <t xml:space="preserve">13</t>
  </si>
  <si>
    <t xml:space="preserve">Vlahovic</t>
  </si>
  <si>
    <t xml:space="preserve">62</t>
  </si>
  <si>
    <t xml:space="preserve">Castellanos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</si>
</sst>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dd/mm/yyyy"/>
  </numFmts>
  <fonts count="6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name val="Calibri"/>
      <family val="0"/>
      <charset val="1"/>
    </font>
    <font>
      <sz val="11"/>
      <name val="Calibri"/>
      <family val="0"/>
      <charset val="1"/>
    </font>
  </fonts>
  <fills count="3">
    <fill>
      <patternFill patternType="none"/>
    </fill>
    <fill>
      <patternFill patternType="gray125"/>
    </fill>
    <fill>
      <patternFill patternType="solid">
        <fgColor rgb="FFE9E9E9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0" fillId="0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E9E9E9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3:J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M26" activeCellId="0" sqref="M26"/>
    </sheetView>
  </sheetViews>
  <sheetFormatPr defaultColWidth="11.53515625" defaultRowHeight="12.8" zeroHeight="false" outlineLevelRow="0" outlineLevelCol="0"/>
  <cols>
    <col collapsed="false" customWidth="true" hidden="false" outlineLevel="0" max="3" min="3" style="1" width="16.17"/>
    <col collapsed="false" customWidth="true" hidden="false" outlineLevel="0" max="8" min="6" style="1" width="13.12"/>
    <col collapsed="false" customWidth="true" hidden="false" outlineLevel="0" max="9" min="9" style="1" width="13.95"/>
    <col collapsed="false" customWidth="true" hidden="false" outlineLevel="0" max="10" min="10" style="1" width="14.6"/>
  </cols>
  <sheetData>
    <row r="3" customFormat="false" ht="13.8" hidden="false" customHeight="false" outlineLevel="0" collapsed="false">
      <c r="A3" s="2" t="s">
        <v>0</v>
      </c>
      <c r="B3" s="2" t="s">
        <v>1</v>
      </c>
      <c r="C3" s="2" t="s">
        <v>2</v>
      </c>
      <c r="D3" s="2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</row>
    <row r="4" customFormat="false" ht="13.8" hidden="false" customHeight="false" outlineLevel="0" collapsed="false">
      <c r="A4" s="4" t="n">
        <v>1</v>
      </c>
      <c r="B4" s="5" t="s">
        <v>10</v>
      </c>
      <c r="C4" s="5" t="s">
        <v>11</v>
      </c>
      <c r="D4" s="5" t="s">
        <v>12</v>
      </c>
      <c r="E4" s="6" t="n">
        <v>8</v>
      </c>
      <c r="F4" s="4" t="n">
        <v>8</v>
      </c>
      <c r="G4" s="7" t="n">
        <v>45141</v>
      </c>
      <c r="H4" s="4" t="n">
        <v>2</v>
      </c>
      <c r="I4" s="7" t="n">
        <f aca="false">DATE(YEAR(G4)+H4,6,31)</f>
        <v>45839</v>
      </c>
      <c r="J4" s="4" t="n">
        <f aca="false">IF(_xlfn.FLOOR.MATH(F4*0.25*H4)&gt;0,_xlfn.FLOOR.MATH(F4*0.25*H4),1)</f>
        <v>4</v>
      </c>
    </row>
    <row r="5" customFormat="false" ht="13.8" hidden="false" customHeight="false" outlineLevel="0" collapsed="false">
      <c r="A5" s="4" t="n">
        <v>2</v>
      </c>
      <c r="B5" s="5" t="s">
        <v>10</v>
      </c>
      <c r="C5" s="5" t="s">
        <v>13</v>
      </c>
      <c r="D5" s="5" t="s">
        <v>14</v>
      </c>
      <c r="E5" s="6" t="n">
        <v>9</v>
      </c>
      <c r="F5" s="4" t="n">
        <v>9</v>
      </c>
      <c r="G5" s="7" t="n">
        <v>45141</v>
      </c>
      <c r="H5" s="4" t="n">
        <v>1</v>
      </c>
      <c r="I5" s="7" t="n">
        <f aca="false">DATE(YEAR(G5)+H5,6,31)</f>
        <v>45474</v>
      </c>
      <c r="J5" s="4" t="n">
        <f aca="false">IF(_xlfn.FLOOR.MATH(F5*0.25*H5)&gt;0,_xlfn.FLOOR.MATH(F5*0.25*H5),1)</f>
        <v>2</v>
      </c>
    </row>
    <row r="6" customFormat="false" ht="13.8" hidden="false" customHeight="false" outlineLevel="0" collapsed="false">
      <c r="A6" s="4" t="n">
        <v>3</v>
      </c>
      <c r="B6" s="5" t="s">
        <v>10</v>
      </c>
      <c r="C6" s="5" t="s">
        <v>15</v>
      </c>
      <c r="D6" s="5" t="s">
        <v>14</v>
      </c>
      <c r="E6" s="6" t="n">
        <v>1</v>
      </c>
      <c r="F6" s="4" t="n">
        <v>1</v>
      </c>
      <c r="G6" s="7" t="n">
        <v>45141</v>
      </c>
      <c r="H6" s="4" t="n">
        <v>3</v>
      </c>
      <c r="I6" s="7" t="n">
        <f aca="false">DATE(YEAR(G6)+H6,6,31)</f>
        <v>46204</v>
      </c>
      <c r="J6" s="4" t="n">
        <f aca="false">IF(_xlfn.FLOOR.MATH(F6*0.25*H6)&gt;0,_xlfn.FLOOR.MATH(F6*0.25*H6),1)</f>
        <v>1</v>
      </c>
    </row>
    <row r="7" customFormat="false" ht="13.8" hidden="false" customHeight="false" outlineLevel="0" collapsed="false">
      <c r="A7" s="4" t="n">
        <v>4</v>
      </c>
      <c r="B7" s="5" t="s">
        <v>16</v>
      </c>
      <c r="C7" s="5" t="s">
        <v>17</v>
      </c>
      <c r="D7" s="5" t="s">
        <v>18</v>
      </c>
      <c r="E7" s="6" t="n">
        <v>20</v>
      </c>
      <c r="F7" s="4" t="n">
        <v>9</v>
      </c>
      <c r="G7" s="7" t="n">
        <v>45141</v>
      </c>
      <c r="H7" s="4" t="n">
        <v>1</v>
      </c>
      <c r="I7" s="7" t="n">
        <f aca="false">DATE(YEAR(G7)+H7,6,31)</f>
        <v>45474</v>
      </c>
      <c r="J7" s="4" t="n">
        <f aca="false">IF(_xlfn.FLOOR.MATH(F7*0.25*H7)&gt;0,_xlfn.FLOOR.MATH(F7*0.25*H7),1)</f>
        <v>2</v>
      </c>
    </row>
    <row r="8" customFormat="false" ht="13.8" hidden="false" customHeight="false" outlineLevel="0" collapsed="false">
      <c r="A8" s="4" t="n">
        <v>5</v>
      </c>
      <c r="B8" s="5" t="s">
        <v>19</v>
      </c>
      <c r="C8" s="5" t="s">
        <v>20</v>
      </c>
      <c r="D8" s="5" t="s">
        <v>21</v>
      </c>
      <c r="E8" s="6" t="n">
        <v>8</v>
      </c>
      <c r="F8" s="4" t="n">
        <v>8</v>
      </c>
      <c r="G8" s="7" t="n">
        <v>45141</v>
      </c>
      <c r="H8" s="4" t="n">
        <v>3</v>
      </c>
      <c r="I8" s="7" t="n">
        <f aca="false">DATE(YEAR(G8)+H8,6,31)</f>
        <v>46204</v>
      </c>
      <c r="J8" s="4" t="n">
        <f aca="false">IF(_xlfn.FLOOR.MATH(F8*0.25*H8)&gt;0,_xlfn.FLOOR.MATH(F8*0.25*H8),1)</f>
        <v>6</v>
      </c>
    </row>
    <row r="9" customFormat="false" ht="13.8" hidden="false" customHeight="false" outlineLevel="0" collapsed="false">
      <c r="A9" s="4" t="n">
        <v>6</v>
      </c>
      <c r="B9" s="5" t="s">
        <v>22</v>
      </c>
      <c r="C9" s="5" t="s">
        <v>23</v>
      </c>
      <c r="D9" s="5" t="s">
        <v>24</v>
      </c>
      <c r="E9" s="6" t="n">
        <v>27</v>
      </c>
      <c r="F9" s="4" t="n">
        <v>13</v>
      </c>
      <c r="G9" s="7" t="n">
        <v>45141</v>
      </c>
      <c r="H9" s="4" t="n">
        <v>1</v>
      </c>
      <c r="I9" s="7" t="n">
        <f aca="false">DATE(YEAR(G9)+H9,6,31)</f>
        <v>45474</v>
      </c>
      <c r="J9" s="4" t="n">
        <f aca="false">IF(_xlfn.FLOOR.MATH(F9*0.25*H9)&gt;0,_xlfn.FLOOR.MATH(F9*0.25*H9),1)</f>
        <v>3</v>
      </c>
    </row>
    <row r="10" customFormat="false" ht="13.8" hidden="false" customHeight="false" outlineLevel="0" collapsed="false">
      <c r="A10" s="4" t="n">
        <v>7</v>
      </c>
      <c r="B10" s="5" t="s">
        <v>22</v>
      </c>
      <c r="C10" s="5" t="s">
        <v>25</v>
      </c>
      <c r="D10" s="5" t="s">
        <v>26</v>
      </c>
      <c r="E10" s="6" t="n">
        <v>25</v>
      </c>
      <c r="F10" s="4" t="n">
        <v>15</v>
      </c>
      <c r="G10" s="7" t="n">
        <v>45141</v>
      </c>
      <c r="H10" s="4" t="n">
        <v>1</v>
      </c>
      <c r="I10" s="7" t="n">
        <f aca="false">DATE(YEAR(G10)+H10,6,31)</f>
        <v>45474</v>
      </c>
      <c r="J10" s="4" t="n">
        <f aca="false">IF(_xlfn.FLOOR.MATH(F10*0.25*H10)&gt;0,_xlfn.FLOOR.MATH(F10*0.25*H10),1)</f>
        <v>3</v>
      </c>
    </row>
    <row r="11" customFormat="false" ht="13.8" hidden="false" customHeight="false" outlineLevel="0" collapsed="false">
      <c r="A11" s="4" t="n">
        <v>8</v>
      </c>
      <c r="B11" s="5" t="s">
        <v>27</v>
      </c>
      <c r="C11" s="5" t="s">
        <v>28</v>
      </c>
      <c r="D11" s="5" t="s">
        <v>21</v>
      </c>
      <c r="E11" s="6" t="n">
        <v>7</v>
      </c>
      <c r="F11" s="4" t="n">
        <v>7</v>
      </c>
      <c r="G11" s="7" t="n">
        <v>45141</v>
      </c>
      <c r="H11" s="4" t="n">
        <v>3</v>
      </c>
      <c r="I11" s="7" t="n">
        <f aca="false">DATE(YEAR(G11)+H11,6,31)</f>
        <v>46204</v>
      </c>
      <c r="J11" s="4" t="n">
        <f aca="false">IF(_xlfn.FLOOR.MATH(F11*0.25*H11)&gt;0,_xlfn.FLOOR.MATH(F11*0.25*H11),1)</f>
        <v>5</v>
      </c>
    </row>
    <row r="12" customFormat="false" ht="13.8" hidden="false" customHeight="false" outlineLevel="0" collapsed="false">
      <c r="A12" s="4" t="n">
        <v>9</v>
      </c>
      <c r="B12" s="5" t="s">
        <v>29</v>
      </c>
      <c r="C12" s="5" t="s">
        <v>30</v>
      </c>
      <c r="D12" s="5" t="s">
        <v>31</v>
      </c>
      <c r="E12" s="6" t="n">
        <v>23</v>
      </c>
      <c r="F12" s="4" t="n">
        <v>14</v>
      </c>
      <c r="G12" s="7" t="n">
        <v>45141</v>
      </c>
      <c r="H12" s="4" t="n">
        <v>1</v>
      </c>
      <c r="I12" s="7" t="n">
        <f aca="false">DATE(YEAR(G12)+H12,6,31)</f>
        <v>45474</v>
      </c>
      <c r="J12" s="4" t="n">
        <f aca="false">IF(_xlfn.FLOOR.MATH(F12*0.25*H12)&gt;0,_xlfn.FLOOR.MATH(F12*0.25*H12),1)</f>
        <v>3</v>
      </c>
    </row>
    <row r="13" customFormat="false" ht="13.8" hidden="false" customHeight="false" outlineLevel="0" collapsed="false">
      <c r="A13" s="4" t="n">
        <v>10</v>
      </c>
      <c r="B13" s="5" t="s">
        <v>22</v>
      </c>
      <c r="C13" s="5" t="s">
        <v>32</v>
      </c>
      <c r="D13" s="5" t="s">
        <v>14</v>
      </c>
      <c r="E13" s="6" t="n">
        <v>14</v>
      </c>
      <c r="F13" s="4" t="n">
        <v>9</v>
      </c>
      <c r="G13" s="7" t="n">
        <v>45141</v>
      </c>
      <c r="H13" s="4" t="n">
        <v>1</v>
      </c>
      <c r="I13" s="7" t="n">
        <f aca="false">DATE(YEAR(G13)+H13,6,31)</f>
        <v>45474</v>
      </c>
      <c r="J13" s="4" t="n">
        <f aca="false">IF(_xlfn.FLOOR.MATH(F13*0.25*H13)&gt;0,_xlfn.FLOOR.MATH(F13*0.25*H13),1)</f>
        <v>2</v>
      </c>
    </row>
    <row r="14" customFormat="false" ht="13.8" hidden="false" customHeight="false" outlineLevel="0" collapsed="false">
      <c r="A14" s="4" t="n">
        <v>11</v>
      </c>
      <c r="B14" s="5" t="s">
        <v>16</v>
      </c>
      <c r="C14" s="5" t="s">
        <v>33</v>
      </c>
      <c r="D14" s="5" t="s">
        <v>31</v>
      </c>
      <c r="E14" s="6" t="n">
        <v>4</v>
      </c>
      <c r="F14" s="4" t="n">
        <v>4</v>
      </c>
      <c r="G14" s="7" t="n">
        <v>45141</v>
      </c>
      <c r="H14" s="4" t="n">
        <v>3</v>
      </c>
      <c r="I14" s="7" t="n">
        <f aca="false">DATE(YEAR(G14)+H14,6,31)</f>
        <v>46204</v>
      </c>
      <c r="J14" s="4" t="n">
        <f aca="false">IF(_xlfn.FLOOR.MATH(F14*0.25*H14)&gt;0,_xlfn.FLOOR.MATH(F14*0.25*H14),1)</f>
        <v>3</v>
      </c>
    </row>
    <row r="15" customFormat="false" ht="13.8" hidden="false" customHeight="false" outlineLevel="0" collapsed="false">
      <c r="A15" s="4" t="n">
        <v>12</v>
      </c>
      <c r="B15" s="5" t="s">
        <v>34</v>
      </c>
      <c r="C15" s="5" t="s">
        <v>35</v>
      </c>
      <c r="D15" s="5" t="s">
        <v>36</v>
      </c>
      <c r="E15" s="6" t="n">
        <v>1</v>
      </c>
      <c r="F15" s="4" t="n">
        <v>1</v>
      </c>
      <c r="G15" s="7" t="n">
        <v>45141</v>
      </c>
      <c r="H15" s="4" t="n">
        <v>3</v>
      </c>
      <c r="I15" s="7" t="n">
        <f aca="false">DATE(YEAR(G15)+H15,6,31)</f>
        <v>46204</v>
      </c>
      <c r="J15" s="4" t="n">
        <f aca="false">IF(_xlfn.FLOOR.MATH(F15*0.25*H15)&gt;0,_xlfn.FLOOR.MATH(F15*0.25*H15),1)</f>
        <v>1</v>
      </c>
    </row>
    <row r="16" customFormat="false" ht="13.8" hidden="false" customHeight="false" outlineLevel="0" collapsed="false">
      <c r="A16" s="4" t="n">
        <v>13</v>
      </c>
      <c r="B16" s="5" t="s">
        <v>37</v>
      </c>
      <c r="C16" s="5" t="s">
        <v>38</v>
      </c>
      <c r="D16" s="5" t="s">
        <v>21</v>
      </c>
      <c r="E16" s="6" t="n">
        <v>6</v>
      </c>
      <c r="F16" s="4" t="n">
        <v>6</v>
      </c>
      <c r="G16" s="7" t="n">
        <v>45141</v>
      </c>
      <c r="H16" s="4" t="n">
        <v>1</v>
      </c>
      <c r="I16" s="7" t="n">
        <f aca="false">DATE(YEAR(G16)+H16,6,31)</f>
        <v>45474</v>
      </c>
      <c r="J16" s="4" t="n">
        <f aca="false">IF(_xlfn.FLOOR.MATH(F16*0.25*H16)&gt;0,_xlfn.FLOOR.MATH(F16*0.25*H16),1)</f>
        <v>1</v>
      </c>
    </row>
    <row r="17" customFormat="false" ht="13.8" hidden="false" customHeight="false" outlineLevel="0" collapsed="false">
      <c r="A17" s="4" t="n">
        <v>14</v>
      </c>
      <c r="B17" s="5" t="s">
        <v>39</v>
      </c>
      <c r="C17" s="5" t="s">
        <v>40</v>
      </c>
      <c r="D17" s="5" t="s">
        <v>41</v>
      </c>
      <c r="E17" s="6" t="n">
        <v>28</v>
      </c>
      <c r="F17" s="4" t="n">
        <v>23</v>
      </c>
      <c r="G17" s="7" t="n">
        <v>45141</v>
      </c>
      <c r="H17" s="4" t="n">
        <v>1</v>
      </c>
      <c r="I17" s="7" t="n">
        <f aca="false">DATE(YEAR(G17)+H17,6,31)</f>
        <v>45474</v>
      </c>
      <c r="J17" s="4" t="n">
        <f aca="false">IF(_xlfn.FLOOR.MATH(F17*0.25*H17)&gt;0,_xlfn.FLOOR.MATH(F17*0.25*H17),1)</f>
        <v>5</v>
      </c>
    </row>
    <row r="18" customFormat="false" ht="13.8" hidden="false" customHeight="false" outlineLevel="0" collapsed="false">
      <c r="A18" s="4" t="n">
        <v>15</v>
      </c>
      <c r="B18" s="5" t="s">
        <v>37</v>
      </c>
      <c r="C18" s="5" t="s">
        <v>42</v>
      </c>
      <c r="D18" s="5" t="s">
        <v>43</v>
      </c>
      <c r="E18" s="6" t="n">
        <v>8</v>
      </c>
      <c r="F18" s="4" t="n">
        <v>7</v>
      </c>
      <c r="G18" s="7" t="n">
        <v>45141</v>
      </c>
      <c r="H18" s="4" t="n">
        <v>2</v>
      </c>
      <c r="I18" s="7" t="n">
        <f aca="false">DATE(YEAR(G18)+H18,6,31)</f>
        <v>45839</v>
      </c>
      <c r="J18" s="4" t="n">
        <f aca="false">IF(_xlfn.FLOOR.MATH(F18*0.25*H18)&gt;0,_xlfn.FLOOR.MATH(F18*0.25*H18),1)</f>
        <v>3</v>
      </c>
    </row>
    <row r="19" customFormat="false" ht="13.8" hidden="false" customHeight="false" outlineLevel="0" collapsed="false">
      <c r="A19" s="4" t="n">
        <v>16</v>
      </c>
      <c r="B19" s="5" t="s">
        <v>44</v>
      </c>
      <c r="C19" s="5" t="s">
        <v>45</v>
      </c>
      <c r="D19" s="5" t="s">
        <v>31</v>
      </c>
      <c r="E19" s="6" t="n">
        <v>7</v>
      </c>
      <c r="F19" s="4" t="n">
        <v>7</v>
      </c>
      <c r="G19" s="7" t="n">
        <v>45141</v>
      </c>
      <c r="H19" s="4" t="n">
        <v>2</v>
      </c>
      <c r="I19" s="7" t="n">
        <f aca="false">DATE(YEAR(G19)+H19,6,31)</f>
        <v>45839</v>
      </c>
      <c r="J19" s="4" t="n">
        <f aca="false">IF(_xlfn.FLOOR.MATH(F19*0.25*H19)&gt;0,_xlfn.FLOOR.MATH(F19*0.25*H19),1)</f>
        <v>3</v>
      </c>
    </row>
    <row r="20" customFormat="false" ht="13.8" hidden="false" customHeight="false" outlineLevel="0" collapsed="false">
      <c r="A20" s="4" t="n">
        <v>17</v>
      </c>
      <c r="B20" s="5" t="s">
        <v>46</v>
      </c>
      <c r="C20" s="5" t="s">
        <v>47</v>
      </c>
      <c r="D20" s="5" t="s">
        <v>48</v>
      </c>
      <c r="E20" s="6" t="n">
        <v>26</v>
      </c>
      <c r="F20" s="4" t="n">
        <v>20</v>
      </c>
      <c r="G20" s="7" t="n">
        <v>45141</v>
      </c>
      <c r="H20" s="4" t="n">
        <v>1</v>
      </c>
      <c r="I20" s="7" t="n">
        <f aca="false">DATE(YEAR(G20)+H20,6,31)</f>
        <v>45474</v>
      </c>
      <c r="J20" s="4" t="n">
        <f aca="false">IF(_xlfn.FLOOR.MATH(F20*0.25*H20)&gt;0,_xlfn.FLOOR.MATH(F20*0.25*H20),1)</f>
        <v>5</v>
      </c>
    </row>
    <row r="21" customFormat="false" ht="13.8" hidden="false" customHeight="false" outlineLevel="0" collapsed="false">
      <c r="A21" s="4" t="n">
        <v>18</v>
      </c>
      <c r="B21" s="5" t="s">
        <v>37</v>
      </c>
      <c r="C21" s="5" t="s">
        <v>49</v>
      </c>
      <c r="D21" s="5" t="s">
        <v>50</v>
      </c>
      <c r="E21" s="6" t="n">
        <v>2</v>
      </c>
      <c r="F21" s="4" t="n">
        <v>2</v>
      </c>
      <c r="G21" s="7" t="n">
        <v>45141</v>
      </c>
      <c r="H21" s="4" t="n">
        <v>3</v>
      </c>
      <c r="I21" s="7" t="n">
        <f aca="false">DATE(YEAR(G21)+H21,6,31)</f>
        <v>46204</v>
      </c>
      <c r="J21" s="4" t="n">
        <f aca="false">IF(_xlfn.FLOOR.MATH(F21*0.25*H21)&gt;0,_xlfn.FLOOR.MATH(F21*0.25*H21),1)</f>
        <v>1</v>
      </c>
    </row>
    <row r="22" customFormat="false" ht="13.8" hidden="false" customHeight="false" outlineLevel="0" collapsed="false">
      <c r="A22" s="4" t="n">
        <v>19</v>
      </c>
      <c r="B22" s="5" t="s">
        <v>44</v>
      </c>
      <c r="C22" s="5" t="s">
        <v>51</v>
      </c>
      <c r="D22" s="5" t="s">
        <v>14</v>
      </c>
      <c r="E22" s="6" t="n">
        <v>23</v>
      </c>
      <c r="F22" s="4" t="n">
        <v>16</v>
      </c>
      <c r="G22" s="7" t="n">
        <v>45141</v>
      </c>
      <c r="H22" s="4" t="n">
        <v>3</v>
      </c>
      <c r="I22" s="7" t="n">
        <f aca="false">DATE(YEAR(G22)+H22,6,31)</f>
        <v>46204</v>
      </c>
      <c r="J22" s="4" t="n">
        <f aca="false">IF(_xlfn.FLOOR.MATH(F22*0.25*H22)&gt;0,_xlfn.FLOOR.MATH(F22*0.25*H22),1)</f>
        <v>12</v>
      </c>
    </row>
    <row r="23" customFormat="false" ht="13.8" hidden="false" customHeight="false" outlineLevel="0" collapsed="false">
      <c r="A23" s="4" t="n">
        <v>20</v>
      </c>
      <c r="B23" s="5" t="s">
        <v>44</v>
      </c>
      <c r="C23" s="5" t="s">
        <v>52</v>
      </c>
      <c r="D23" s="5" t="s">
        <v>48</v>
      </c>
      <c r="E23" s="6" t="n">
        <v>1</v>
      </c>
      <c r="F23" s="4" t="n">
        <v>1</v>
      </c>
      <c r="G23" s="7" t="n">
        <v>45141</v>
      </c>
      <c r="H23" s="4" t="n">
        <v>3</v>
      </c>
      <c r="I23" s="7" t="n">
        <f aca="false">DATE(YEAR(G23)+H23,6,31)</f>
        <v>46204</v>
      </c>
      <c r="J23" s="4" t="n">
        <f aca="false">IF(_xlfn.FLOOR.MATH(F23*0.25*H23)&gt;0,_xlfn.FLOOR.MATH(F23*0.25*H23),1)</f>
        <v>1</v>
      </c>
    </row>
    <row r="24" customFormat="false" ht="13.8" hidden="false" customHeight="false" outlineLevel="0" collapsed="false">
      <c r="A24" s="4" t="n">
        <v>21</v>
      </c>
      <c r="B24" s="5" t="s">
        <v>53</v>
      </c>
      <c r="C24" s="5" t="s">
        <v>54</v>
      </c>
      <c r="D24" s="5" t="s">
        <v>21</v>
      </c>
      <c r="E24" s="6" t="n">
        <v>13</v>
      </c>
      <c r="F24" s="4" t="n">
        <v>13</v>
      </c>
      <c r="G24" s="7" t="n">
        <v>45141</v>
      </c>
      <c r="H24" s="4" t="n">
        <v>1</v>
      </c>
      <c r="I24" s="7" t="n">
        <f aca="false">DATE(YEAR(G24)+H24,6,31)</f>
        <v>45474</v>
      </c>
      <c r="J24" s="4" t="n">
        <f aca="false">IF(_xlfn.FLOOR.MATH(F24*0.25*H24)&gt;0,_xlfn.FLOOR.MATH(F24*0.25*H24),1)</f>
        <v>3</v>
      </c>
    </row>
    <row r="25" customFormat="false" ht="13.8" hidden="false" customHeight="false" outlineLevel="0" collapsed="false">
      <c r="A25" s="4" t="n">
        <v>22</v>
      </c>
      <c r="B25" s="5" t="s">
        <v>53</v>
      </c>
      <c r="C25" s="5" t="s">
        <v>55</v>
      </c>
      <c r="D25" s="5" t="s">
        <v>56</v>
      </c>
      <c r="E25" s="6" t="n">
        <v>14</v>
      </c>
      <c r="F25" s="4" t="n">
        <v>14</v>
      </c>
      <c r="G25" s="7" t="n">
        <v>45141</v>
      </c>
      <c r="H25" s="4" t="n">
        <v>1</v>
      </c>
      <c r="I25" s="7" t="n">
        <f aca="false">DATE(YEAR(G25)+H25,6,31)</f>
        <v>45474</v>
      </c>
      <c r="J25" s="4" t="n">
        <f aca="false">IF(_xlfn.FLOOR.MATH(F25*0.25*H25)&gt;0,_xlfn.FLOOR.MATH(F25*0.25*H25),1)</f>
        <v>3</v>
      </c>
    </row>
    <row r="26" customFormat="false" ht="13.8" hidden="false" customHeight="false" outlineLevel="0" collapsed="false">
      <c r="A26" s="4" t="n">
        <v>23</v>
      </c>
      <c r="B26" s="5" t="s">
        <v>53</v>
      </c>
      <c r="C26" s="5" t="s">
        <v>57</v>
      </c>
      <c r="D26" s="5" t="s">
        <v>14</v>
      </c>
      <c r="E26" s="6" t="n">
        <v>7</v>
      </c>
      <c r="F26" s="4" t="n">
        <v>1</v>
      </c>
      <c r="G26" s="7" t="n">
        <v>45141</v>
      </c>
      <c r="H26" s="4" t="n">
        <v>3</v>
      </c>
      <c r="I26" s="7" t="n">
        <f aca="false">DATE(YEAR(G26)+H26,6,31)</f>
        <v>46204</v>
      </c>
      <c r="J26" s="4" t="n">
        <f aca="false">IF(_xlfn.FLOOR.MATH(F26*0.25*H26)&gt;0,_xlfn.FLOOR.MATH(F26*0.25*H26),1)</f>
        <v>1</v>
      </c>
    </row>
    <row r="27" customFormat="false" ht="13.8" hidden="false" customHeight="false" outlineLevel="0" collapsed="false">
      <c r="A27" s="4" t="n">
        <v>24</v>
      </c>
      <c r="B27" s="5" t="s">
        <v>44</v>
      </c>
      <c r="C27" s="5" t="s">
        <v>58</v>
      </c>
      <c r="D27" s="5" t="s">
        <v>56</v>
      </c>
      <c r="E27" s="6" t="n">
        <v>9</v>
      </c>
      <c r="F27" s="4" t="n">
        <v>6</v>
      </c>
      <c r="G27" s="7" t="n">
        <v>45141</v>
      </c>
      <c r="H27" s="4" t="n">
        <v>3</v>
      </c>
      <c r="I27" s="7" t="n">
        <f aca="false">DATE(YEAR(G27)+H27,6,31)</f>
        <v>46204</v>
      </c>
      <c r="J27" s="4" t="n">
        <f aca="false">IF(_xlfn.FLOOR.MATH(F27*0.25*H27)&gt;0,_xlfn.FLOOR.MATH(F27*0.25*H27),1)</f>
        <v>4</v>
      </c>
    </row>
    <row r="28" customFormat="false" ht="13.8" hidden="false" customHeight="false" outlineLevel="0" collapsed="false">
      <c r="A28" s="4" t="n">
        <v>25</v>
      </c>
      <c r="B28" s="5" t="s">
        <v>59</v>
      </c>
      <c r="C28" s="5" t="s">
        <v>60</v>
      </c>
      <c r="D28" s="5" t="s">
        <v>41</v>
      </c>
      <c r="E28" s="6" t="n">
        <v>106</v>
      </c>
      <c r="F28" s="4" t="n">
        <v>32</v>
      </c>
      <c r="G28" s="7" t="n">
        <v>45141</v>
      </c>
      <c r="H28" s="4" t="n">
        <v>3</v>
      </c>
      <c r="I28" s="7" t="n">
        <f aca="false">DATE(YEAR(G28)+H28,6,31)</f>
        <v>46204</v>
      </c>
      <c r="J28" s="4" t="n">
        <f aca="false">IF(_xlfn.FLOOR.MATH(F28*0.25*H28)&gt;0,_xlfn.FLOOR.MATH(F28*0.25*H28),1)</f>
        <v>24</v>
      </c>
    </row>
    <row r="29" customFormat="false" ht="13.8" hidden="false" customHeight="false" outlineLevel="0" collapsed="false">
      <c r="A29" s="4" t="n">
        <v>26</v>
      </c>
      <c r="B29" s="5" t="s">
        <v>59</v>
      </c>
      <c r="C29" s="5" t="s">
        <v>61</v>
      </c>
      <c r="D29" s="5" t="s">
        <v>50</v>
      </c>
      <c r="E29" s="6" t="n">
        <v>2</v>
      </c>
      <c r="F29" s="4" t="n">
        <v>1</v>
      </c>
      <c r="G29" s="7" t="n">
        <v>45141</v>
      </c>
      <c r="H29" s="4" t="n">
        <v>3</v>
      </c>
      <c r="I29" s="7" t="n">
        <f aca="false">DATE(YEAR(G29)+H29,6,31)</f>
        <v>46204</v>
      </c>
      <c r="J29" s="4" t="n">
        <f aca="false">IF(_xlfn.FLOOR.MATH(F29*0.25*H29)&gt;0,_xlfn.FLOOR.MATH(F29*0.25*H29),1)</f>
        <v>1</v>
      </c>
    </row>
    <row r="30" customFormat="false" ht="13.8" hidden="false" customHeight="false" outlineLevel="0" collapsed="false">
      <c r="A30" s="4" t="n">
        <v>27</v>
      </c>
      <c r="B30" s="5" t="s">
        <v>59</v>
      </c>
      <c r="C30" s="5" t="s">
        <v>62</v>
      </c>
      <c r="D30" s="5" t="s">
        <v>18</v>
      </c>
      <c r="E30" s="6" t="n">
        <v>25</v>
      </c>
      <c r="F30" s="4" t="n">
        <v>24</v>
      </c>
      <c r="G30" s="7" t="n">
        <v>45141</v>
      </c>
      <c r="H30" s="4" t="n">
        <v>1</v>
      </c>
      <c r="I30" s="7" t="n">
        <f aca="false">DATE(YEAR(G30)+H30,6,31)</f>
        <v>45474</v>
      </c>
      <c r="J30" s="4" t="n">
        <f aca="false">IF(_xlfn.FLOOR.MATH(F30*0.25*H30)&gt;0,_xlfn.FLOOR.MATH(F30*0.25*H30),1)</f>
        <v>6</v>
      </c>
    </row>
    <row r="31" customFormat="false" ht="13.8" hidden="false" customHeight="false" outlineLevel="0" collapsed="false">
      <c r="A31" s="4" t="n">
        <v>28</v>
      </c>
      <c r="B31" s="5" t="s">
        <v>63</v>
      </c>
      <c r="C31" s="5" t="s">
        <v>64</v>
      </c>
      <c r="D31" s="5" t="s">
        <v>65</v>
      </c>
      <c r="E31" s="6" t="n">
        <v>3</v>
      </c>
      <c r="F31" s="4" t="n">
        <v>1</v>
      </c>
      <c r="G31" s="7" t="n">
        <v>45141</v>
      </c>
      <c r="H31" s="4" t="n">
        <v>3</v>
      </c>
      <c r="I31" s="7" t="n">
        <f aca="false">DATE(YEAR(G31)+H31,6,31)</f>
        <v>46204</v>
      </c>
      <c r="J31" s="4" t="n">
        <f aca="false">IF(_xlfn.FLOOR.MATH(F31*0.25*H31)&gt;0,_xlfn.FLOOR.MATH(F31*0.25*H31),1)</f>
        <v>1</v>
      </c>
    </row>
    <row r="32" customFormat="false" ht="13.8" hidden="false" customHeight="false" outlineLevel="0" collapsed="false">
      <c r="A32" s="4" t="n">
        <v>29</v>
      </c>
      <c r="B32" s="5" t="s">
        <v>63</v>
      </c>
      <c r="C32" s="5" t="s">
        <v>66</v>
      </c>
      <c r="D32" s="5" t="s">
        <v>65</v>
      </c>
      <c r="E32" s="6" t="n">
        <v>12</v>
      </c>
      <c r="F32" s="4" t="n">
        <v>12</v>
      </c>
      <c r="G32" s="7" t="n">
        <v>45141</v>
      </c>
      <c r="H32" s="4" t="n">
        <v>3</v>
      </c>
      <c r="I32" s="7" t="n">
        <f aca="false">DATE(YEAR(G32)+H32,6,31)</f>
        <v>46204</v>
      </c>
      <c r="J32" s="4" t="n">
        <f aca="false">IF(_xlfn.FLOOR.MATH(F32*0.25*H32)&gt;0,_xlfn.FLOOR.MATH(F32*0.25*H32),1)</f>
        <v>9</v>
      </c>
    </row>
    <row r="33" customFormat="false" ht="13.8" hidden="false" customHeight="false" outlineLevel="0" collapsed="false">
      <c r="A33" s="4" t="n">
        <v>30</v>
      </c>
      <c r="B33" s="5" t="s">
        <v>59</v>
      </c>
      <c r="C33" s="5" t="s">
        <v>67</v>
      </c>
      <c r="D33" s="5" t="s">
        <v>21</v>
      </c>
      <c r="E33" s="6" t="n">
        <v>53</v>
      </c>
      <c r="F33" s="4" t="n">
        <v>23</v>
      </c>
      <c r="G33" s="7" t="n">
        <v>45141</v>
      </c>
      <c r="H33" s="4" t="n">
        <v>2</v>
      </c>
      <c r="I33" s="7" t="n">
        <f aca="false">DATE(YEAR(G33)+H33,6,31)</f>
        <v>45839</v>
      </c>
      <c r="J33" s="4" t="n">
        <f aca="false">IF(_xlfn.FLOOR.MATH(F33*0.25*H33)&gt;0,_xlfn.FLOOR.MATH(F33*0.25*H33),1)</f>
        <v>11</v>
      </c>
    </row>
    <row r="34" customFormat="false" ht="12.8" hidden="false" customHeight="false" outlineLevel="0" collapsed="false">
      <c r="J34" s="1" t="n">
        <f aca="false">200-SUM(J4:J33)</f>
        <v>71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Roman,Normale"&amp;12&amp;A</oddHeader>
    <oddFooter>&amp;C&amp;"Times New Roman,Normale"&amp;12Pagina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3:K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N30" activeCellId="0" sqref="N30"/>
    </sheetView>
  </sheetViews>
  <sheetFormatPr defaultColWidth="11.53515625" defaultRowHeight="12.8" zeroHeight="false" outlineLevelRow="0" outlineLevelCol="0"/>
  <cols>
    <col collapsed="false" customWidth="true" hidden="false" outlineLevel="0" max="8" min="8" style="1" width="13.4"/>
    <col collapsed="false" customWidth="true" hidden="false" outlineLevel="0" max="9" min="9" style="1" width="14.21"/>
    <col collapsed="false" customWidth="true" hidden="false" outlineLevel="0" max="10" min="10" style="1" width="13.81"/>
    <col collapsed="false" customWidth="true" hidden="false" outlineLevel="0" max="11" min="11" style="1" width="15.06"/>
  </cols>
  <sheetData>
    <row r="3" customFormat="false" ht="13.8" hidden="false" customHeight="false" outlineLevel="0" collapsed="false">
      <c r="B3" s="2" t="s">
        <v>0</v>
      </c>
      <c r="C3" s="2" t="s">
        <v>1</v>
      </c>
      <c r="D3" s="2" t="s">
        <v>2</v>
      </c>
      <c r="E3" s="2" t="s">
        <v>3</v>
      </c>
      <c r="F3" s="3" t="s">
        <v>4</v>
      </c>
      <c r="G3" s="3" t="s">
        <v>5</v>
      </c>
      <c r="H3" s="3" t="s">
        <v>6</v>
      </c>
      <c r="I3" s="3" t="s">
        <v>7</v>
      </c>
      <c r="J3" s="3" t="s">
        <v>8</v>
      </c>
      <c r="K3" s="3" t="s">
        <v>9</v>
      </c>
    </row>
    <row r="4" customFormat="false" ht="13.8" hidden="false" customHeight="false" outlineLevel="0" collapsed="false">
      <c r="B4" s="4" t="n">
        <v>1</v>
      </c>
      <c r="C4" s="5" t="s">
        <v>10</v>
      </c>
      <c r="D4" s="5" t="s">
        <v>68</v>
      </c>
      <c r="E4" s="5" t="s">
        <v>50</v>
      </c>
      <c r="F4" s="6" t="s">
        <v>69</v>
      </c>
      <c r="G4" s="4" t="n">
        <v>1</v>
      </c>
      <c r="H4" s="7" t="n">
        <v>45141</v>
      </c>
      <c r="I4" s="4" t="n">
        <v>3</v>
      </c>
      <c r="J4" s="7" t="n">
        <f aca="false">DATE(YEAR(H4)+I4,6,31)</f>
        <v>46204</v>
      </c>
      <c r="K4" s="4" t="n">
        <f aca="false">IF(_xlfn.FLOOR.MATH(G4*0.25*I4)&gt;0,_xlfn.FLOOR.MATH(G4*0.25*I4),1)</f>
        <v>1</v>
      </c>
    </row>
    <row r="5" customFormat="false" ht="13.8" hidden="false" customHeight="false" outlineLevel="0" collapsed="false">
      <c r="B5" s="4" t="n">
        <v>2</v>
      </c>
      <c r="C5" s="5" t="s">
        <v>10</v>
      </c>
      <c r="D5" s="5" t="s">
        <v>70</v>
      </c>
      <c r="E5" s="5" t="s">
        <v>50</v>
      </c>
      <c r="F5" s="6" t="s">
        <v>71</v>
      </c>
      <c r="G5" s="4" t="n">
        <v>3</v>
      </c>
      <c r="H5" s="7" t="n">
        <v>45141</v>
      </c>
      <c r="I5" s="4" t="n">
        <v>3</v>
      </c>
      <c r="J5" s="7" t="n">
        <f aca="false">DATE(YEAR(H5)+I5,6,31)</f>
        <v>46204</v>
      </c>
      <c r="K5" s="4" t="n">
        <f aca="false">IF(_xlfn.FLOOR.MATH(G5*0.25*I5)&gt;0,_xlfn.FLOOR.MATH(G5*0.25*I5),1)</f>
        <v>2</v>
      </c>
    </row>
    <row r="6" customFormat="false" ht="13.8" hidden="false" customHeight="false" outlineLevel="0" collapsed="false">
      <c r="B6" s="4" t="n">
        <v>3</v>
      </c>
      <c r="C6" s="5" t="s">
        <v>10</v>
      </c>
      <c r="D6" s="5" t="s">
        <v>72</v>
      </c>
      <c r="E6" s="5" t="s">
        <v>50</v>
      </c>
      <c r="F6" s="6" t="s">
        <v>73</v>
      </c>
      <c r="G6" s="4" t="n">
        <v>11</v>
      </c>
      <c r="H6" s="7" t="n">
        <v>45141</v>
      </c>
      <c r="I6" s="4" t="n">
        <v>3</v>
      </c>
      <c r="J6" s="7" t="n">
        <f aca="false">DATE(YEAR(H6)+I6,6,31)</f>
        <v>46204</v>
      </c>
      <c r="K6" s="4" t="n">
        <f aca="false">IF(_xlfn.FLOOR.MATH(G6*0.25*I6)&gt;0,_xlfn.FLOOR.MATH(G6*0.25*I6),1)</f>
        <v>8</v>
      </c>
    </row>
    <row r="7" customFormat="false" ht="13.8" hidden="false" customHeight="false" outlineLevel="0" collapsed="false">
      <c r="B7" s="4" t="n">
        <v>4</v>
      </c>
      <c r="C7" s="5" t="s">
        <v>19</v>
      </c>
      <c r="D7" s="5" t="s">
        <v>74</v>
      </c>
      <c r="E7" s="5" t="s">
        <v>75</v>
      </c>
      <c r="F7" s="6" t="s">
        <v>76</v>
      </c>
      <c r="G7" s="4" t="n">
        <v>10</v>
      </c>
      <c r="H7" s="7" t="n">
        <v>45141</v>
      </c>
      <c r="I7" s="4" t="n">
        <v>2</v>
      </c>
      <c r="J7" s="7" t="n">
        <f aca="false">DATE(YEAR(H7)+I7,6,31)</f>
        <v>45839</v>
      </c>
      <c r="K7" s="4" t="n">
        <f aca="false">IF(_xlfn.FLOOR.MATH(G7*0.25*I7)&gt;0,_xlfn.FLOOR.MATH(G7*0.25*I7),1)</f>
        <v>5</v>
      </c>
    </row>
    <row r="8" customFormat="false" ht="13.8" hidden="false" customHeight="false" outlineLevel="0" collapsed="false">
      <c r="B8" s="4" t="n">
        <v>5</v>
      </c>
      <c r="C8" s="5" t="s">
        <v>22</v>
      </c>
      <c r="D8" s="5" t="s">
        <v>77</v>
      </c>
      <c r="E8" s="5" t="s">
        <v>41</v>
      </c>
      <c r="F8" s="6" t="s">
        <v>78</v>
      </c>
      <c r="G8" s="4" t="n">
        <v>13</v>
      </c>
      <c r="H8" s="7" t="n">
        <v>45141</v>
      </c>
      <c r="I8" s="4" t="n">
        <v>3</v>
      </c>
      <c r="J8" s="7" t="n">
        <f aca="false">DATE(YEAR(H8)+I8,6,31)</f>
        <v>46204</v>
      </c>
      <c r="K8" s="4" t="n">
        <f aca="false">IF(_xlfn.FLOOR.MATH(G8*0.25*I8)&gt;0,_xlfn.FLOOR.MATH(G8*0.25*I8),1)</f>
        <v>9</v>
      </c>
    </row>
    <row r="9" customFormat="false" ht="13.8" hidden="false" customHeight="false" outlineLevel="0" collapsed="false">
      <c r="B9" s="4" t="n">
        <v>6</v>
      </c>
      <c r="C9" s="5" t="s">
        <v>16</v>
      </c>
      <c r="D9" s="5" t="s">
        <v>79</v>
      </c>
      <c r="E9" s="5" t="s">
        <v>65</v>
      </c>
      <c r="F9" s="6" t="s">
        <v>80</v>
      </c>
      <c r="G9" s="4" t="n">
        <v>9</v>
      </c>
      <c r="H9" s="7" t="n">
        <v>45141</v>
      </c>
      <c r="I9" s="4" t="n">
        <v>2</v>
      </c>
      <c r="J9" s="7" t="n">
        <f aca="false">DATE(YEAR(H9)+I9,6,31)</f>
        <v>45839</v>
      </c>
      <c r="K9" s="4" t="n">
        <f aca="false">IF(_xlfn.FLOOR.MATH(G9*0.25*I9)&gt;0,_xlfn.FLOOR.MATH(G9*0.25*I9),1)</f>
        <v>4</v>
      </c>
    </row>
    <row r="10" customFormat="false" ht="13.8" hidden="false" customHeight="false" outlineLevel="0" collapsed="false">
      <c r="B10" s="4" t="n">
        <v>7</v>
      </c>
      <c r="C10" s="5" t="s">
        <v>22</v>
      </c>
      <c r="D10" s="5" t="s">
        <v>81</v>
      </c>
      <c r="E10" s="5" t="s">
        <v>26</v>
      </c>
      <c r="F10" s="6" t="s">
        <v>82</v>
      </c>
      <c r="G10" s="4" t="n">
        <v>11</v>
      </c>
      <c r="H10" s="7" t="n">
        <v>45141</v>
      </c>
      <c r="I10" s="4" t="n">
        <v>3</v>
      </c>
      <c r="J10" s="7" t="n">
        <f aca="false">DATE(YEAR(H10)+I10,6,31)</f>
        <v>46204</v>
      </c>
      <c r="K10" s="4" t="n">
        <f aca="false">IF(_xlfn.FLOOR.MATH(G10*0.25*I10)&gt;0,_xlfn.FLOOR.MATH(G10*0.25*I10),1)</f>
        <v>8</v>
      </c>
    </row>
    <row r="11" customFormat="false" ht="13.8" hidden="false" customHeight="false" outlineLevel="0" collapsed="false">
      <c r="B11" s="4" t="n">
        <v>8</v>
      </c>
      <c r="C11" s="5" t="s">
        <v>16</v>
      </c>
      <c r="D11" s="5" t="s">
        <v>83</v>
      </c>
      <c r="E11" s="5" t="s">
        <v>26</v>
      </c>
      <c r="F11" s="6" t="s">
        <v>71</v>
      </c>
      <c r="G11" s="4" t="n">
        <v>3</v>
      </c>
      <c r="H11" s="7" t="n">
        <v>45141</v>
      </c>
      <c r="I11" s="4" t="n">
        <v>2</v>
      </c>
      <c r="J11" s="7" t="n">
        <f aca="false">DATE(YEAR(H11)+I11,6,31)</f>
        <v>45839</v>
      </c>
      <c r="K11" s="4" t="n">
        <f aca="false">IF(_xlfn.FLOOR.MATH(G11*0.25*I11)&gt;0,_xlfn.FLOOR.MATH(G11*0.25*I11),1)</f>
        <v>1</v>
      </c>
    </row>
    <row r="12" customFormat="false" ht="13.8" hidden="false" customHeight="false" outlineLevel="0" collapsed="false">
      <c r="B12" s="4" t="n">
        <v>9</v>
      </c>
      <c r="C12" s="5" t="s">
        <v>84</v>
      </c>
      <c r="D12" s="5" t="s">
        <v>85</v>
      </c>
      <c r="E12" s="5" t="s">
        <v>50</v>
      </c>
      <c r="F12" s="6" t="s">
        <v>76</v>
      </c>
      <c r="G12" s="4" t="n">
        <v>11</v>
      </c>
      <c r="H12" s="7" t="n">
        <v>45141</v>
      </c>
      <c r="I12" s="4" t="n">
        <v>3</v>
      </c>
      <c r="J12" s="7" t="n">
        <f aca="false">DATE(YEAR(H12)+I12,6,31)</f>
        <v>46204</v>
      </c>
      <c r="K12" s="4" t="n">
        <f aca="false">IF(_xlfn.FLOOR.MATH(G12*0.25*I12)&gt;0,_xlfn.FLOOR.MATH(G12*0.25*I12),1)</f>
        <v>8</v>
      </c>
    </row>
    <row r="13" customFormat="false" ht="13.8" hidden="false" customHeight="false" outlineLevel="0" collapsed="false">
      <c r="B13" s="4" t="n">
        <v>10</v>
      </c>
      <c r="C13" s="5" t="s">
        <v>19</v>
      </c>
      <c r="D13" s="5" t="s">
        <v>86</v>
      </c>
      <c r="E13" s="5" t="s">
        <v>75</v>
      </c>
      <c r="F13" s="6" t="s">
        <v>80</v>
      </c>
      <c r="G13" s="4" t="n">
        <v>8</v>
      </c>
      <c r="H13" s="7" t="n">
        <v>45141</v>
      </c>
      <c r="I13" s="4" t="n">
        <v>3</v>
      </c>
      <c r="J13" s="7" t="n">
        <f aca="false">DATE(YEAR(H13)+I13,6,31)</f>
        <v>46204</v>
      </c>
      <c r="K13" s="4" t="n">
        <f aca="false">IF(_xlfn.FLOOR.MATH(G13*0.25*I13)&gt;0,_xlfn.FLOOR.MATH(G13*0.25*I13),1)</f>
        <v>6</v>
      </c>
    </row>
    <row r="14" customFormat="false" ht="13.8" hidden="false" customHeight="false" outlineLevel="0" collapsed="false">
      <c r="B14" s="4" t="n">
        <v>11</v>
      </c>
      <c r="C14" s="5" t="s">
        <v>22</v>
      </c>
      <c r="D14" s="5" t="s">
        <v>87</v>
      </c>
      <c r="E14" s="5" t="s">
        <v>43</v>
      </c>
      <c r="F14" s="6" t="s">
        <v>71</v>
      </c>
      <c r="G14" s="4" t="n">
        <v>3</v>
      </c>
      <c r="H14" s="7" t="n">
        <v>45141</v>
      </c>
      <c r="I14" s="4" t="n">
        <v>3</v>
      </c>
      <c r="J14" s="7" t="n">
        <f aca="false">DATE(YEAR(H14)+I14,6,31)</f>
        <v>46204</v>
      </c>
      <c r="K14" s="4" t="n">
        <f aca="false">IF(_xlfn.FLOOR.MATH(G14*0.25*I14)&gt;0,_xlfn.FLOOR.MATH(G14*0.25*I14),1)</f>
        <v>2</v>
      </c>
    </row>
    <row r="15" customFormat="false" ht="13.8" hidden="false" customHeight="false" outlineLevel="0" collapsed="false">
      <c r="B15" s="4" t="n">
        <v>12</v>
      </c>
      <c r="C15" s="5" t="s">
        <v>22</v>
      </c>
      <c r="D15" s="5" t="s">
        <v>88</v>
      </c>
      <c r="E15" s="5" t="s">
        <v>48</v>
      </c>
      <c r="F15" s="6" t="s">
        <v>80</v>
      </c>
      <c r="G15" s="4" t="n">
        <v>6</v>
      </c>
      <c r="H15" s="7" t="n">
        <v>45141</v>
      </c>
      <c r="I15" s="4" t="n">
        <v>3</v>
      </c>
      <c r="J15" s="7" t="n">
        <f aca="false">DATE(YEAR(H15)+I15,6,31)</f>
        <v>46204</v>
      </c>
      <c r="K15" s="4" t="n">
        <f aca="false">IF(_xlfn.FLOOR.MATH(G15*0.25*I15)&gt;0,_xlfn.FLOOR.MATH(G15*0.25*I15),1)</f>
        <v>4</v>
      </c>
    </row>
    <row r="16" customFormat="false" ht="13.8" hidden="false" customHeight="false" outlineLevel="0" collapsed="false">
      <c r="B16" s="4" t="n">
        <v>13</v>
      </c>
      <c r="C16" s="5" t="s">
        <v>16</v>
      </c>
      <c r="D16" s="5" t="s">
        <v>89</v>
      </c>
      <c r="E16" s="5" t="s">
        <v>26</v>
      </c>
      <c r="F16" s="6" t="s">
        <v>90</v>
      </c>
      <c r="G16" s="4" t="n">
        <v>9</v>
      </c>
      <c r="H16" s="7" t="n">
        <v>45141</v>
      </c>
      <c r="I16" s="4" t="n">
        <v>2</v>
      </c>
      <c r="J16" s="7" t="n">
        <f aca="false">DATE(YEAR(H16)+I16,6,31)</f>
        <v>45839</v>
      </c>
      <c r="K16" s="4" t="n">
        <f aca="false">IF(_xlfn.FLOOR.MATH(G16*0.25*I16)&gt;0,_xlfn.FLOOR.MATH(G16*0.25*I16),1)</f>
        <v>4</v>
      </c>
    </row>
    <row r="17" customFormat="false" ht="13.8" hidden="false" customHeight="false" outlineLevel="0" collapsed="false">
      <c r="B17" s="4" t="n">
        <v>14</v>
      </c>
      <c r="C17" s="5" t="s">
        <v>39</v>
      </c>
      <c r="D17" s="5" t="s">
        <v>91</v>
      </c>
      <c r="E17" s="5" t="s">
        <v>26</v>
      </c>
      <c r="F17" s="6" t="s">
        <v>92</v>
      </c>
      <c r="G17" s="4" t="n">
        <v>15</v>
      </c>
      <c r="H17" s="7" t="n">
        <v>45141</v>
      </c>
      <c r="I17" s="4" t="n">
        <v>2</v>
      </c>
      <c r="J17" s="7" t="n">
        <f aca="false">DATE(YEAR(H17)+I17,6,31)</f>
        <v>45839</v>
      </c>
      <c r="K17" s="4" t="n">
        <f aca="false">IF(_xlfn.FLOOR.MATH(G17*0.25*I17)&gt;0,_xlfn.FLOOR.MATH(G17*0.25*I17),1)</f>
        <v>7</v>
      </c>
    </row>
    <row r="18" customFormat="false" ht="13.8" hidden="false" customHeight="false" outlineLevel="0" collapsed="false">
      <c r="B18" s="4" t="n">
        <v>15</v>
      </c>
      <c r="C18" s="5" t="s">
        <v>37</v>
      </c>
      <c r="D18" s="5" t="s">
        <v>93</v>
      </c>
      <c r="E18" s="5" t="s">
        <v>75</v>
      </c>
      <c r="F18" s="6" t="s">
        <v>80</v>
      </c>
      <c r="G18" s="4" t="n">
        <v>10</v>
      </c>
      <c r="H18" s="7" t="n">
        <v>45141</v>
      </c>
      <c r="I18" s="4" t="n">
        <v>3</v>
      </c>
      <c r="J18" s="7" t="n">
        <f aca="false">DATE(YEAR(H18)+I18,6,31)</f>
        <v>46204</v>
      </c>
      <c r="K18" s="4" t="n">
        <f aca="false">IF(_xlfn.FLOOR.MATH(G18*0.25*I18)&gt;0,_xlfn.FLOOR.MATH(G18*0.25*I18),1)</f>
        <v>7</v>
      </c>
    </row>
    <row r="19" customFormat="false" ht="13.8" hidden="false" customHeight="false" outlineLevel="0" collapsed="false">
      <c r="B19" s="4" t="n">
        <v>16</v>
      </c>
      <c r="C19" s="5" t="s">
        <v>37</v>
      </c>
      <c r="D19" s="5" t="s">
        <v>94</v>
      </c>
      <c r="E19" s="5" t="s">
        <v>95</v>
      </c>
      <c r="F19" s="6" t="s">
        <v>96</v>
      </c>
      <c r="G19" s="4" t="n">
        <v>18</v>
      </c>
      <c r="H19" s="7" t="n">
        <v>45141</v>
      </c>
      <c r="I19" s="4" t="n">
        <v>2</v>
      </c>
      <c r="J19" s="7" t="n">
        <f aca="false">DATE(YEAR(H19)+I19,6,31)</f>
        <v>45839</v>
      </c>
      <c r="K19" s="4" t="n">
        <f aca="false">IF(_xlfn.FLOOR.MATH(G19*0.25*I19)&gt;0,_xlfn.FLOOR.MATH(G19*0.25*I19),1)</f>
        <v>9</v>
      </c>
    </row>
    <row r="20" customFormat="false" ht="13.8" hidden="false" customHeight="false" outlineLevel="0" collapsed="false">
      <c r="B20" s="4" t="n">
        <v>17</v>
      </c>
      <c r="C20" s="5" t="s">
        <v>97</v>
      </c>
      <c r="D20" s="5" t="s">
        <v>98</v>
      </c>
      <c r="E20" s="5" t="s">
        <v>18</v>
      </c>
      <c r="F20" s="6" t="s">
        <v>82</v>
      </c>
      <c r="G20" s="4" t="n">
        <v>13</v>
      </c>
      <c r="H20" s="7" t="n">
        <v>45141</v>
      </c>
      <c r="I20" s="4" t="n">
        <v>3</v>
      </c>
      <c r="J20" s="7" t="n">
        <f aca="false">DATE(YEAR(H20)+I20,6,31)</f>
        <v>46204</v>
      </c>
      <c r="K20" s="4" t="n">
        <f aca="false">IF(_xlfn.FLOOR.MATH(G20*0.25*I20)&gt;0,_xlfn.FLOOR.MATH(G20*0.25*I20),1)</f>
        <v>9</v>
      </c>
    </row>
    <row r="21" customFormat="false" ht="13.8" hidden="false" customHeight="false" outlineLevel="0" collapsed="false">
      <c r="B21" s="4" t="n">
        <v>18</v>
      </c>
      <c r="C21" s="5" t="s">
        <v>37</v>
      </c>
      <c r="D21" s="5" t="s">
        <v>99</v>
      </c>
      <c r="E21" s="5" t="s">
        <v>24</v>
      </c>
      <c r="F21" s="6" t="s">
        <v>100</v>
      </c>
      <c r="G21" s="4" t="n">
        <v>6</v>
      </c>
      <c r="H21" s="7" t="n">
        <v>45141</v>
      </c>
      <c r="I21" s="4" t="n">
        <v>3</v>
      </c>
      <c r="J21" s="7" t="n">
        <f aca="false">DATE(YEAR(H21)+I21,6,31)</f>
        <v>46204</v>
      </c>
      <c r="K21" s="4" t="n">
        <f aca="false">IF(_xlfn.FLOOR.MATH(G21*0.25*I21)&gt;0,_xlfn.FLOOR.MATH(G21*0.25*I21),1)</f>
        <v>4</v>
      </c>
    </row>
    <row r="22" customFormat="false" ht="13.8" hidden="false" customHeight="false" outlineLevel="0" collapsed="false">
      <c r="B22" s="4" t="n">
        <v>19</v>
      </c>
      <c r="C22" s="5" t="s">
        <v>101</v>
      </c>
      <c r="D22" s="5" t="s">
        <v>102</v>
      </c>
      <c r="E22" s="5" t="s">
        <v>18</v>
      </c>
      <c r="F22" s="6" t="s">
        <v>76</v>
      </c>
      <c r="G22" s="4" t="n">
        <v>7</v>
      </c>
      <c r="H22" s="7" t="n">
        <v>45141</v>
      </c>
      <c r="I22" s="4" t="n">
        <v>3</v>
      </c>
      <c r="J22" s="7" t="n">
        <f aca="false">DATE(YEAR(H22)+I22,6,31)</f>
        <v>46204</v>
      </c>
      <c r="K22" s="4" t="n">
        <f aca="false">IF(_xlfn.FLOOR.MATH(G22*0.25*I22)&gt;0,_xlfn.FLOOR.MATH(G22*0.25*I22),1)</f>
        <v>5</v>
      </c>
    </row>
    <row r="23" customFormat="false" ht="13.8" hidden="false" customHeight="false" outlineLevel="0" collapsed="false">
      <c r="B23" s="4" t="n">
        <v>20</v>
      </c>
      <c r="C23" s="5" t="s">
        <v>97</v>
      </c>
      <c r="D23" s="5" t="s">
        <v>103</v>
      </c>
      <c r="E23" s="5" t="s">
        <v>14</v>
      </c>
      <c r="F23" s="6" t="s">
        <v>71</v>
      </c>
      <c r="G23" s="4" t="n">
        <v>3</v>
      </c>
      <c r="H23" s="7" t="n">
        <v>45141</v>
      </c>
      <c r="I23" s="4" t="n">
        <v>3</v>
      </c>
      <c r="J23" s="7" t="n">
        <f aca="false">DATE(YEAR(H23)+I23,6,31)</f>
        <v>46204</v>
      </c>
      <c r="K23" s="4" t="n">
        <f aca="false">IF(_xlfn.FLOOR.MATH(G23*0.25*I23)&gt;0,_xlfn.FLOOR.MATH(G23*0.25*I23),1)</f>
        <v>2</v>
      </c>
    </row>
    <row r="24" customFormat="false" ht="13.8" hidden="false" customHeight="false" outlineLevel="0" collapsed="false">
      <c r="B24" s="4" t="n">
        <v>21</v>
      </c>
      <c r="C24" s="5" t="s">
        <v>37</v>
      </c>
      <c r="D24" s="5" t="s">
        <v>104</v>
      </c>
      <c r="E24" s="5" t="s">
        <v>14</v>
      </c>
      <c r="F24" s="6" t="s">
        <v>105</v>
      </c>
      <c r="G24" s="4" t="n">
        <v>4</v>
      </c>
      <c r="H24" s="7" t="n">
        <v>45141</v>
      </c>
      <c r="I24" s="4" t="n">
        <v>3</v>
      </c>
      <c r="J24" s="7" t="n">
        <f aca="false">DATE(YEAR(H24)+I24,6,31)</f>
        <v>46204</v>
      </c>
      <c r="K24" s="4" t="n">
        <f aca="false">IF(_xlfn.FLOOR.MATH(G24*0.25*I24)&gt;0,_xlfn.FLOOR.MATH(G24*0.25*I24),1)</f>
        <v>3</v>
      </c>
    </row>
    <row r="25" customFormat="false" ht="13.8" hidden="false" customHeight="false" outlineLevel="0" collapsed="false">
      <c r="B25" s="4" t="n">
        <v>22</v>
      </c>
      <c r="C25" s="5" t="s">
        <v>37</v>
      </c>
      <c r="D25" s="5" t="s">
        <v>106</v>
      </c>
      <c r="E25" s="5" t="s">
        <v>18</v>
      </c>
      <c r="F25" s="6" t="s">
        <v>107</v>
      </c>
      <c r="G25" s="4" t="n">
        <v>13</v>
      </c>
      <c r="H25" s="7" t="n">
        <v>45141</v>
      </c>
      <c r="I25" s="4" t="n">
        <v>3</v>
      </c>
      <c r="J25" s="7" t="n">
        <f aca="false">DATE(YEAR(H25)+I25,6,31)</f>
        <v>46204</v>
      </c>
      <c r="K25" s="4" t="n">
        <f aca="false">IF(_xlfn.FLOOR.MATH(G25*0.25*I25)&gt;0,_xlfn.FLOOR.MATH(G25*0.25*I25),1)</f>
        <v>9</v>
      </c>
    </row>
    <row r="26" customFormat="false" ht="13.8" hidden="false" customHeight="false" outlineLevel="0" collapsed="false">
      <c r="B26" s="4" t="n">
        <v>23</v>
      </c>
      <c r="C26" s="5" t="s">
        <v>63</v>
      </c>
      <c r="D26" s="5" t="s">
        <v>108</v>
      </c>
      <c r="E26" s="5" t="s">
        <v>48</v>
      </c>
      <c r="F26" s="6" t="s">
        <v>109</v>
      </c>
      <c r="G26" s="4" t="n">
        <v>14</v>
      </c>
      <c r="H26" s="7" t="n">
        <v>45141</v>
      </c>
      <c r="I26" s="4" t="n">
        <v>2</v>
      </c>
      <c r="J26" s="7" t="n">
        <f aca="false">DATE(YEAR(H26)+I26,6,31)</f>
        <v>45839</v>
      </c>
      <c r="K26" s="4" t="n">
        <f aca="false">IF(_xlfn.FLOOR.MATH(G26*0.25*I26)&gt;0,_xlfn.FLOOR.MATH(G26*0.25*I26),1)</f>
        <v>7</v>
      </c>
    </row>
    <row r="27" customFormat="false" ht="13.8" hidden="false" customHeight="false" outlineLevel="0" collapsed="false">
      <c r="B27" s="4" t="n">
        <v>24</v>
      </c>
      <c r="C27" s="5" t="s">
        <v>59</v>
      </c>
      <c r="D27" s="5" t="s">
        <v>110</v>
      </c>
      <c r="E27" s="5" t="s">
        <v>95</v>
      </c>
      <c r="F27" s="6" t="s">
        <v>111</v>
      </c>
      <c r="G27" s="4" t="n">
        <v>23</v>
      </c>
      <c r="H27" s="7" t="n">
        <v>45141</v>
      </c>
      <c r="I27" s="4" t="n">
        <v>3</v>
      </c>
      <c r="J27" s="7" t="n">
        <f aca="false">DATE(YEAR(H27)+I27,6,31)</f>
        <v>46204</v>
      </c>
      <c r="K27" s="4" t="n">
        <f aca="false">IF(_xlfn.FLOOR.MATH(G27*0.25*I27)&gt;0,_xlfn.FLOOR.MATH(G27*0.25*I27),1)</f>
        <v>17</v>
      </c>
    </row>
    <row r="28" customFormat="false" ht="13.8" hidden="false" customHeight="false" outlineLevel="0" collapsed="false">
      <c r="B28" s="4" t="n">
        <v>25</v>
      </c>
      <c r="C28" s="5" t="s">
        <v>63</v>
      </c>
      <c r="D28" s="5" t="s">
        <v>112</v>
      </c>
      <c r="E28" s="5" t="s">
        <v>113</v>
      </c>
      <c r="F28" s="6" t="s">
        <v>114</v>
      </c>
      <c r="G28" s="4" t="n">
        <v>21</v>
      </c>
      <c r="H28" s="7" t="n">
        <v>45141</v>
      </c>
      <c r="I28" s="4" t="n">
        <v>3</v>
      </c>
      <c r="J28" s="7" t="n">
        <f aca="false">DATE(YEAR(H28)+I28,6,31)</f>
        <v>46204</v>
      </c>
      <c r="K28" s="4" t="n">
        <f aca="false">IF(_xlfn.FLOOR.MATH(G28*0.25*I28)&gt;0,_xlfn.FLOOR.MATH(G28*0.25*I28),1)</f>
        <v>15</v>
      </c>
    </row>
    <row r="29" customFormat="false" ht="13.8" hidden="false" customHeight="false" outlineLevel="0" collapsed="false">
      <c r="B29" s="4" t="n">
        <v>26</v>
      </c>
      <c r="C29" s="5" t="s">
        <v>59</v>
      </c>
      <c r="D29" s="5" t="s">
        <v>115</v>
      </c>
      <c r="E29" s="5" t="s">
        <v>113</v>
      </c>
      <c r="F29" s="6" t="s">
        <v>116</v>
      </c>
      <c r="G29" s="4" t="n">
        <v>10</v>
      </c>
      <c r="H29" s="7" t="n">
        <v>45141</v>
      </c>
      <c r="I29" s="4" t="n">
        <v>3</v>
      </c>
      <c r="J29" s="7" t="n">
        <f aca="false">DATE(YEAR(H29)+I29,6,31)</f>
        <v>46204</v>
      </c>
      <c r="K29" s="4" t="n">
        <f aca="false">IF(_xlfn.FLOOR.MATH(G29*0.25*I29)&gt;0,_xlfn.FLOOR.MATH(G29*0.25*I29),1)</f>
        <v>7</v>
      </c>
    </row>
    <row r="30" customFormat="false" ht="13.8" hidden="false" customHeight="false" outlineLevel="0" collapsed="false">
      <c r="B30" s="4" t="n">
        <v>27</v>
      </c>
      <c r="C30" s="5" t="s">
        <v>59</v>
      </c>
      <c r="D30" s="5" t="s">
        <v>117</v>
      </c>
      <c r="E30" s="5" t="s">
        <v>50</v>
      </c>
      <c r="F30" s="6" t="s">
        <v>116</v>
      </c>
      <c r="G30" s="4" t="n">
        <v>15</v>
      </c>
      <c r="H30" s="7" t="n">
        <v>45141</v>
      </c>
      <c r="I30" s="4" t="n">
        <v>3</v>
      </c>
      <c r="J30" s="7" t="n">
        <f aca="false">DATE(YEAR(H30)+I30,6,31)</f>
        <v>46204</v>
      </c>
      <c r="K30" s="4" t="n">
        <f aca="false">IF(_xlfn.FLOOR.MATH(G30*0.25*I30)&gt;0,_xlfn.FLOOR.MATH(G30*0.25*I30),1)</f>
        <v>11</v>
      </c>
    </row>
    <row r="31" customFormat="false" ht="13.8" hidden="false" customHeight="false" outlineLevel="0" collapsed="false">
      <c r="B31" s="4" t="n">
        <v>28</v>
      </c>
      <c r="C31" s="5"/>
      <c r="D31" s="5"/>
      <c r="E31" s="5"/>
      <c r="F31" s="6"/>
      <c r="G31" s="4"/>
      <c r="H31" s="7"/>
      <c r="I31" s="4"/>
      <c r="J31" s="7"/>
      <c r="K31" s="4"/>
    </row>
    <row r="32" customFormat="false" ht="13.8" hidden="false" customHeight="false" outlineLevel="0" collapsed="false">
      <c r="B32" s="4" t="n">
        <v>29</v>
      </c>
      <c r="C32" s="5"/>
      <c r="D32" s="5"/>
      <c r="E32" s="5"/>
      <c r="F32" s="6"/>
      <c r="G32" s="4"/>
      <c r="H32" s="7"/>
      <c r="I32" s="4"/>
      <c r="J32" s="7"/>
      <c r="K32" s="4"/>
    </row>
    <row r="33" customFormat="false" ht="13.8" hidden="false" customHeight="false" outlineLevel="0" collapsed="false">
      <c r="B33" s="4" t="n">
        <v>30</v>
      </c>
      <c r="C33" s="5"/>
      <c r="D33" s="5"/>
      <c r="E33" s="5"/>
      <c r="F33" s="6"/>
      <c r="G33" s="4"/>
      <c r="H33" s="7"/>
      <c r="I33" s="4"/>
      <c r="J33" s="7"/>
      <c r="K33" s="4"/>
    </row>
    <row r="34" customFormat="false" ht="12.8" hidden="false" customHeight="false" outlineLevel="0" collapsed="false">
      <c r="K34" s="1" t="n">
        <f aca="false">200-SUM(K4:K33)</f>
        <v>26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Roman,Normale"&amp;12&amp;A</oddHeader>
    <oddFooter>&amp;C&amp;"Times New Roman,Normale"&amp;12Pagina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3:K3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O11" activeCellId="0" sqref="O11"/>
    </sheetView>
  </sheetViews>
  <sheetFormatPr defaultColWidth="11.53515625" defaultRowHeight="12.8" zeroHeight="false" outlineLevelRow="0" outlineLevelCol="0"/>
  <cols>
    <col collapsed="false" customWidth="true" hidden="false" outlineLevel="0" max="8" min="8" style="1" width="13.4"/>
    <col collapsed="false" customWidth="true" hidden="false" outlineLevel="0" max="9" min="9" style="1" width="14.21"/>
    <col collapsed="false" customWidth="true" hidden="false" outlineLevel="0" max="10" min="10" style="1" width="13.81"/>
    <col collapsed="false" customWidth="true" hidden="false" outlineLevel="0" max="11" min="11" style="1" width="15.06"/>
  </cols>
  <sheetData>
    <row r="3" customFormat="false" ht="13.8" hidden="false" customHeight="false" outlineLevel="0" collapsed="false">
      <c r="B3" s="2" t="s">
        <v>0</v>
      </c>
      <c r="C3" s="2" t="s">
        <v>1</v>
      </c>
      <c r="D3" s="2" t="s">
        <v>2</v>
      </c>
      <c r="E3" s="2" t="s">
        <v>3</v>
      </c>
      <c r="F3" s="3" t="s">
        <v>4</v>
      </c>
      <c r="G3" s="3" t="s">
        <v>5</v>
      </c>
      <c r="H3" s="3" t="s">
        <v>6</v>
      </c>
      <c r="I3" s="3" t="s">
        <v>7</v>
      </c>
      <c r="J3" s="3" t="s">
        <v>8</v>
      </c>
      <c r="K3" s="3" t="s">
        <v>9</v>
      </c>
    </row>
    <row r="4" customFormat="false" ht="13.8" hidden="false" customHeight="false" outlineLevel="0" collapsed="false">
      <c r="B4" s="4" t="n">
        <v>1</v>
      </c>
      <c r="C4" s="5" t="s">
        <v>10</v>
      </c>
      <c r="D4" s="5" t="s">
        <v>118</v>
      </c>
      <c r="E4" s="5" t="s">
        <v>48</v>
      </c>
      <c r="F4" s="6" t="s">
        <v>80</v>
      </c>
      <c r="G4" s="4" t="n">
        <v>10</v>
      </c>
      <c r="H4" s="7" t="n">
        <v>45141</v>
      </c>
      <c r="I4" s="4" t="n">
        <v>1</v>
      </c>
      <c r="J4" s="7" t="n">
        <f aca="false">DATE(YEAR(H4)+I4,6,31)</f>
        <v>45474</v>
      </c>
      <c r="K4" s="4" t="n">
        <f aca="false">IF(_xlfn.FLOOR.MATH(G4*0.25*I4)&gt;0,_xlfn.FLOOR.MATH(G4*0.25*I4),1)</f>
        <v>2</v>
      </c>
    </row>
    <row r="5" customFormat="false" ht="13.8" hidden="false" customHeight="false" outlineLevel="0" collapsed="false">
      <c r="B5" s="4" t="n">
        <v>2</v>
      </c>
      <c r="C5" s="5" t="s">
        <v>10</v>
      </c>
      <c r="D5" s="5" t="s">
        <v>119</v>
      </c>
      <c r="E5" s="5" t="s">
        <v>56</v>
      </c>
      <c r="F5" s="6" t="s">
        <v>105</v>
      </c>
      <c r="G5" s="4" t="n">
        <v>7</v>
      </c>
      <c r="H5" s="7" t="n">
        <v>45141</v>
      </c>
      <c r="I5" s="4" t="n">
        <v>3</v>
      </c>
      <c r="J5" s="7" t="n">
        <f aca="false">DATE(YEAR(H5)+I5,6,31)</f>
        <v>46204</v>
      </c>
      <c r="K5" s="4" t="n">
        <f aca="false">IF(_xlfn.FLOOR.MATH(G5*0.25*I5)&gt;0,_xlfn.FLOOR.MATH(G5*0.25*I5),1)</f>
        <v>5</v>
      </c>
    </row>
    <row r="6" customFormat="false" ht="13.8" hidden="false" customHeight="false" outlineLevel="0" collapsed="false">
      <c r="B6" s="4" t="n">
        <v>3</v>
      </c>
      <c r="C6" s="5" t="s">
        <v>10</v>
      </c>
      <c r="D6" s="5" t="s">
        <v>120</v>
      </c>
      <c r="E6" s="5" t="s">
        <v>95</v>
      </c>
      <c r="F6" s="6" t="s">
        <v>69</v>
      </c>
      <c r="G6" s="4" t="n">
        <v>1</v>
      </c>
      <c r="H6" s="7" t="n">
        <v>45141</v>
      </c>
      <c r="I6" s="4" t="n">
        <v>3</v>
      </c>
      <c r="J6" s="7" t="n">
        <f aca="false">DATE(YEAR(H6)+I6,6,31)</f>
        <v>46204</v>
      </c>
      <c r="K6" s="4" t="n">
        <f aca="false">IF(_xlfn.FLOOR.MATH(G6*0.25*I6)&gt;0,_xlfn.FLOOR.MATH(G6*0.25*I6),1)</f>
        <v>1</v>
      </c>
    </row>
    <row r="7" customFormat="false" ht="13.8" hidden="false" customHeight="false" outlineLevel="0" collapsed="false">
      <c r="B7" s="4" t="n">
        <v>4</v>
      </c>
      <c r="C7" s="5" t="s">
        <v>22</v>
      </c>
      <c r="D7" s="5" t="s">
        <v>121</v>
      </c>
      <c r="E7" s="5" t="s">
        <v>122</v>
      </c>
      <c r="F7" s="6" t="s">
        <v>109</v>
      </c>
      <c r="G7" s="4" t="n">
        <v>11</v>
      </c>
      <c r="H7" s="7" t="n">
        <v>45141</v>
      </c>
      <c r="I7" s="4" t="n">
        <v>2</v>
      </c>
      <c r="J7" s="7" t="n">
        <f aca="false">DATE(YEAR(H7)+I7,6,31)</f>
        <v>45839</v>
      </c>
      <c r="K7" s="4" t="n">
        <f aca="false">IF(_xlfn.FLOOR.MATH(G7*0.25*I7)&gt;0,_xlfn.FLOOR.MATH(G7*0.25*I7),1)</f>
        <v>5</v>
      </c>
    </row>
    <row r="8" customFormat="false" ht="13.8" hidden="false" customHeight="false" outlineLevel="0" collapsed="false">
      <c r="B8" s="4" t="n">
        <v>5</v>
      </c>
      <c r="C8" s="5" t="s">
        <v>22</v>
      </c>
      <c r="D8" s="5" t="s">
        <v>123</v>
      </c>
      <c r="E8" s="5" t="s">
        <v>18</v>
      </c>
      <c r="F8" s="6" t="s">
        <v>124</v>
      </c>
      <c r="G8" s="4" t="n">
        <v>13</v>
      </c>
      <c r="H8" s="7" t="n">
        <v>45141</v>
      </c>
      <c r="I8" s="4" t="n">
        <v>2</v>
      </c>
      <c r="J8" s="7" t="n">
        <f aca="false">DATE(YEAR(H8)+I8,6,31)</f>
        <v>45839</v>
      </c>
      <c r="K8" s="4" t="n">
        <f aca="false">IF(_xlfn.FLOOR.MATH(G8*0.25*I8)&gt;0,_xlfn.FLOOR.MATH(G8*0.25*I8),1)</f>
        <v>6</v>
      </c>
    </row>
    <row r="9" customFormat="false" ht="13.8" hidden="false" customHeight="false" outlineLevel="0" collapsed="false">
      <c r="B9" s="4" t="n">
        <v>6</v>
      </c>
      <c r="C9" s="5" t="s">
        <v>16</v>
      </c>
      <c r="D9" s="5" t="s">
        <v>125</v>
      </c>
      <c r="E9" s="5" t="s">
        <v>122</v>
      </c>
      <c r="F9" s="6" t="s">
        <v>90</v>
      </c>
      <c r="G9" s="4" t="n">
        <v>8</v>
      </c>
      <c r="H9" s="7" t="n">
        <v>45141</v>
      </c>
      <c r="I9" s="4" t="n">
        <v>3</v>
      </c>
      <c r="J9" s="7" t="n">
        <f aca="false">DATE(YEAR(H9)+I9,6,31)</f>
        <v>46204</v>
      </c>
      <c r="K9" s="4" t="n">
        <f aca="false">IF(_xlfn.FLOOR.MATH(G9*0.25*I9)&gt;0,_xlfn.FLOOR.MATH(G9*0.25*I9),1)</f>
        <v>6</v>
      </c>
    </row>
    <row r="10" customFormat="false" ht="13.8" hidden="false" customHeight="false" outlineLevel="0" collapsed="false">
      <c r="B10" s="4" t="n">
        <v>7</v>
      </c>
      <c r="C10" s="5" t="s">
        <v>22</v>
      </c>
      <c r="D10" s="5" t="s">
        <v>126</v>
      </c>
      <c r="E10" s="5" t="s">
        <v>113</v>
      </c>
      <c r="F10" s="6" t="s">
        <v>100</v>
      </c>
      <c r="G10" s="4" t="n">
        <v>6</v>
      </c>
      <c r="H10" s="7" t="n">
        <v>45141</v>
      </c>
      <c r="I10" s="4" t="n">
        <v>3</v>
      </c>
      <c r="J10" s="7" t="n">
        <f aca="false">DATE(YEAR(H10)+I10,6,31)</f>
        <v>46204</v>
      </c>
      <c r="K10" s="4" t="n">
        <f aca="false">IF(_xlfn.FLOOR.MATH(G10*0.25*I10)&gt;0,_xlfn.FLOOR.MATH(G10*0.25*I10),1)</f>
        <v>4</v>
      </c>
    </row>
    <row r="11" customFormat="false" ht="13.8" hidden="false" customHeight="false" outlineLevel="0" collapsed="false">
      <c r="B11" s="4" t="n">
        <v>8</v>
      </c>
      <c r="C11" s="5" t="s">
        <v>27</v>
      </c>
      <c r="D11" s="5" t="s">
        <v>127</v>
      </c>
      <c r="E11" s="5" t="s">
        <v>24</v>
      </c>
      <c r="F11" s="6" t="s">
        <v>71</v>
      </c>
      <c r="G11" s="4" t="n">
        <v>3</v>
      </c>
      <c r="H11" s="7" t="n">
        <v>45141</v>
      </c>
      <c r="I11" s="4" t="n">
        <v>3</v>
      </c>
      <c r="J11" s="7" t="n">
        <f aca="false">DATE(YEAR(H11)+I11,6,31)</f>
        <v>46204</v>
      </c>
      <c r="K11" s="4" t="n">
        <f aca="false">IF(_xlfn.FLOOR.MATH(G11*0.25*I11)&gt;0,_xlfn.FLOOR.MATH(G11*0.25*I11),1)</f>
        <v>2</v>
      </c>
    </row>
    <row r="12" customFormat="false" ht="13.8" hidden="false" customHeight="false" outlineLevel="0" collapsed="false">
      <c r="B12" s="4" t="n">
        <v>9</v>
      </c>
      <c r="C12" s="5" t="s">
        <v>22</v>
      </c>
      <c r="D12" s="5" t="s">
        <v>128</v>
      </c>
      <c r="E12" s="5" t="s">
        <v>113</v>
      </c>
      <c r="F12" s="6" t="s">
        <v>129</v>
      </c>
      <c r="G12" s="4" t="n">
        <v>5</v>
      </c>
      <c r="H12" s="7" t="n">
        <v>45141</v>
      </c>
      <c r="I12" s="4" t="n">
        <v>2</v>
      </c>
      <c r="J12" s="7" t="n">
        <f aca="false">DATE(YEAR(H12)+I12,6,31)</f>
        <v>45839</v>
      </c>
      <c r="K12" s="4" t="n">
        <f aca="false">IF(_xlfn.FLOOR.MATH(G12*0.25*I12)&gt;0,_xlfn.FLOOR.MATH(G12*0.25*I12),1)</f>
        <v>2</v>
      </c>
    </row>
    <row r="13" customFormat="false" ht="13.8" hidden="false" customHeight="false" outlineLevel="0" collapsed="false">
      <c r="B13" s="4" t="n">
        <v>10</v>
      </c>
      <c r="C13" s="5" t="s">
        <v>22</v>
      </c>
      <c r="D13" s="5" t="s">
        <v>130</v>
      </c>
      <c r="E13" s="5" t="s">
        <v>24</v>
      </c>
      <c r="F13" s="6" t="s">
        <v>76</v>
      </c>
      <c r="G13" s="4" t="n">
        <v>6</v>
      </c>
      <c r="H13" s="7" t="n">
        <v>45141</v>
      </c>
      <c r="I13" s="4" t="n">
        <v>3</v>
      </c>
      <c r="J13" s="7" t="n">
        <f aca="false">DATE(YEAR(H13)+I13,6,31)</f>
        <v>46204</v>
      </c>
      <c r="K13" s="4" t="n">
        <f aca="false">IF(_xlfn.FLOOR.MATH(G13*0.25*I13)&gt;0,_xlfn.FLOOR.MATH(G13*0.25*I13),1)</f>
        <v>4</v>
      </c>
    </row>
    <row r="14" customFormat="false" ht="13.8" hidden="false" customHeight="false" outlineLevel="0" collapsed="false">
      <c r="B14" s="4" t="n">
        <v>11</v>
      </c>
      <c r="C14" s="5" t="s">
        <v>22</v>
      </c>
      <c r="D14" s="5" t="s">
        <v>131</v>
      </c>
      <c r="E14" s="5" t="s">
        <v>48</v>
      </c>
      <c r="F14" s="6" t="s">
        <v>132</v>
      </c>
      <c r="G14" s="4" t="n">
        <v>7</v>
      </c>
      <c r="H14" s="7" t="n">
        <v>45141</v>
      </c>
      <c r="I14" s="4" t="n">
        <v>2</v>
      </c>
      <c r="J14" s="7" t="n">
        <f aca="false">DATE(YEAR(H14)+I14,6,31)</f>
        <v>45839</v>
      </c>
      <c r="K14" s="4" t="n">
        <f aca="false">IF(_xlfn.FLOOR.MATH(G14*0.25*I14)&gt;0,_xlfn.FLOOR.MATH(G14*0.25*I14),1)</f>
        <v>3</v>
      </c>
    </row>
    <row r="15" customFormat="false" ht="13.8" hidden="false" customHeight="false" outlineLevel="0" collapsed="false">
      <c r="B15" s="4" t="n">
        <v>12</v>
      </c>
      <c r="C15" s="5" t="s">
        <v>97</v>
      </c>
      <c r="D15" s="5" t="s">
        <v>133</v>
      </c>
      <c r="E15" s="5" t="s">
        <v>24</v>
      </c>
      <c r="F15" s="6" t="s">
        <v>109</v>
      </c>
      <c r="G15" s="4" t="n">
        <v>22</v>
      </c>
      <c r="H15" s="7" t="n">
        <v>45141</v>
      </c>
      <c r="I15" s="4" t="n">
        <v>1</v>
      </c>
      <c r="J15" s="7" t="n">
        <f aca="false">DATE(YEAR(H15)+I15,6,31)</f>
        <v>45474</v>
      </c>
      <c r="K15" s="4" t="n">
        <f aca="false">IF(_xlfn.FLOOR.MATH(G15*0.25*I15)&gt;0,_xlfn.FLOOR.MATH(G15*0.25*I15),1)</f>
        <v>5</v>
      </c>
    </row>
    <row r="16" customFormat="false" ht="13.8" hidden="false" customHeight="false" outlineLevel="0" collapsed="false">
      <c r="B16" s="4" t="n">
        <v>13</v>
      </c>
      <c r="C16" s="5" t="s">
        <v>37</v>
      </c>
      <c r="D16" s="5" t="s">
        <v>134</v>
      </c>
      <c r="E16" s="5" t="s">
        <v>75</v>
      </c>
      <c r="F16" s="6" t="s">
        <v>80</v>
      </c>
      <c r="G16" s="4" t="n">
        <v>8</v>
      </c>
      <c r="H16" s="7" t="n">
        <v>45141</v>
      </c>
      <c r="I16" s="4" t="n">
        <v>1</v>
      </c>
      <c r="J16" s="7" t="n">
        <f aca="false">DATE(YEAR(H16)+I16,6,31)</f>
        <v>45474</v>
      </c>
      <c r="K16" s="4" t="n">
        <f aca="false">IF(_xlfn.FLOOR.MATH(G16*0.25*I16)&gt;0,_xlfn.FLOOR.MATH(G16*0.25*I16),1)</f>
        <v>2</v>
      </c>
    </row>
    <row r="17" customFormat="false" ht="13.8" hidden="false" customHeight="false" outlineLevel="0" collapsed="false">
      <c r="B17" s="4" t="n">
        <v>14</v>
      </c>
      <c r="C17" s="5" t="s">
        <v>135</v>
      </c>
      <c r="D17" s="5" t="s">
        <v>136</v>
      </c>
      <c r="E17" s="5" t="s">
        <v>137</v>
      </c>
      <c r="F17" s="6" t="s">
        <v>116</v>
      </c>
      <c r="G17" s="4" t="n">
        <v>8</v>
      </c>
      <c r="H17" s="7" t="n">
        <v>45141</v>
      </c>
      <c r="I17" s="4" t="n">
        <v>2</v>
      </c>
      <c r="J17" s="7" t="n">
        <f aca="false">DATE(YEAR(H17)+I17,6,31)</f>
        <v>45839</v>
      </c>
      <c r="K17" s="4" t="n">
        <f aca="false">IF(_xlfn.FLOOR.MATH(G17*0.25*I17)&gt;0,_xlfn.FLOOR.MATH(G17*0.25*I17),1)</f>
        <v>4</v>
      </c>
    </row>
    <row r="18" customFormat="false" ht="13.8" hidden="false" customHeight="false" outlineLevel="0" collapsed="false">
      <c r="B18" s="4" t="n">
        <v>15</v>
      </c>
      <c r="C18" s="5" t="s">
        <v>138</v>
      </c>
      <c r="D18" s="5" t="s">
        <v>139</v>
      </c>
      <c r="E18" s="5" t="s">
        <v>24</v>
      </c>
      <c r="F18" s="6" t="s">
        <v>140</v>
      </c>
      <c r="G18" s="4" t="n">
        <v>10</v>
      </c>
      <c r="H18" s="7" t="n">
        <v>45141</v>
      </c>
      <c r="I18" s="4" t="n">
        <v>3</v>
      </c>
      <c r="J18" s="7" t="n">
        <f aca="false">DATE(YEAR(H18)+I18,6,31)</f>
        <v>46204</v>
      </c>
      <c r="K18" s="4" t="n">
        <f aca="false">IF(_xlfn.FLOOR.MATH(G18*0.25*I18)&gt;0,_xlfn.FLOOR.MATH(G18*0.25*I18),1)</f>
        <v>7</v>
      </c>
    </row>
    <row r="19" customFormat="false" ht="13.8" hidden="false" customHeight="false" outlineLevel="0" collapsed="false">
      <c r="B19" s="4" t="n">
        <v>16</v>
      </c>
      <c r="C19" s="5" t="s">
        <v>37</v>
      </c>
      <c r="D19" s="5" t="s">
        <v>141</v>
      </c>
      <c r="E19" s="5" t="s">
        <v>48</v>
      </c>
      <c r="F19" s="6" t="s">
        <v>142</v>
      </c>
      <c r="G19" s="4" t="n">
        <v>14</v>
      </c>
      <c r="H19" s="7" t="n">
        <v>45141</v>
      </c>
      <c r="I19" s="4" t="n">
        <v>2</v>
      </c>
      <c r="J19" s="7" t="n">
        <f aca="false">DATE(YEAR(H19)+I19,6,31)</f>
        <v>45839</v>
      </c>
      <c r="K19" s="4" t="n">
        <f aca="false">IF(_xlfn.FLOOR.MATH(G19*0.25*I19)&gt;0,_xlfn.FLOOR.MATH(G19*0.25*I19),1)</f>
        <v>7</v>
      </c>
    </row>
    <row r="20" customFormat="false" ht="13.8" hidden="false" customHeight="false" outlineLevel="0" collapsed="false">
      <c r="B20" s="4" t="n">
        <v>17</v>
      </c>
      <c r="C20" s="5" t="s">
        <v>97</v>
      </c>
      <c r="D20" s="5" t="s">
        <v>143</v>
      </c>
      <c r="E20" s="5" t="s">
        <v>122</v>
      </c>
      <c r="F20" s="6" t="s">
        <v>144</v>
      </c>
      <c r="G20" s="4" t="n">
        <v>12</v>
      </c>
      <c r="H20" s="7" t="n">
        <v>45141</v>
      </c>
      <c r="I20" s="4" t="n">
        <v>2</v>
      </c>
      <c r="J20" s="7" t="n">
        <f aca="false">DATE(YEAR(H20)+I20,6,31)</f>
        <v>45839</v>
      </c>
      <c r="K20" s="4" t="n">
        <f aca="false">IF(_xlfn.FLOOR.MATH(G20*0.25*I20)&gt;0,_xlfn.FLOOR.MATH(G20*0.25*I20),1)</f>
        <v>6</v>
      </c>
    </row>
    <row r="21" customFormat="false" ht="13.8" hidden="false" customHeight="false" outlineLevel="0" collapsed="false">
      <c r="B21" s="4" t="n">
        <v>18</v>
      </c>
      <c r="C21" s="5" t="s">
        <v>84</v>
      </c>
      <c r="D21" s="5" t="s">
        <v>145</v>
      </c>
      <c r="E21" s="5" t="s">
        <v>26</v>
      </c>
      <c r="F21" s="6" t="s">
        <v>142</v>
      </c>
      <c r="G21" s="4" t="n">
        <v>9</v>
      </c>
      <c r="H21" s="7" t="n">
        <v>45141</v>
      </c>
      <c r="I21" s="4" t="n">
        <v>2</v>
      </c>
      <c r="J21" s="7" t="n">
        <f aca="false">DATE(YEAR(H21)+I21,6,31)</f>
        <v>45839</v>
      </c>
      <c r="K21" s="4" t="n">
        <f aca="false">IF(_xlfn.FLOOR.MATH(G21*0.25*I21)&gt;0,_xlfn.FLOOR.MATH(G21*0.25*I21),1)</f>
        <v>4</v>
      </c>
    </row>
    <row r="22" customFormat="false" ht="13.8" hidden="false" customHeight="false" outlineLevel="0" collapsed="false">
      <c r="B22" s="4" t="n">
        <v>19</v>
      </c>
      <c r="C22" s="5" t="s">
        <v>44</v>
      </c>
      <c r="D22" s="5" t="s">
        <v>146</v>
      </c>
      <c r="E22" s="5" t="s">
        <v>24</v>
      </c>
      <c r="F22" s="6" t="s">
        <v>105</v>
      </c>
      <c r="G22" s="4" t="n">
        <v>5</v>
      </c>
      <c r="H22" s="7" t="n">
        <v>45141</v>
      </c>
      <c r="I22" s="4" t="n">
        <v>3</v>
      </c>
      <c r="J22" s="7" t="n">
        <f aca="false">DATE(YEAR(H22)+I22,6,31)</f>
        <v>46204</v>
      </c>
      <c r="K22" s="4" t="n">
        <f aca="false">IF(_xlfn.FLOOR.MATH(G22*0.25*I22)&gt;0,_xlfn.FLOOR.MATH(G22*0.25*I22),1)</f>
        <v>3</v>
      </c>
    </row>
    <row r="23" customFormat="false" ht="13.8" hidden="false" customHeight="false" outlineLevel="0" collapsed="false">
      <c r="B23" s="4" t="n">
        <v>20</v>
      </c>
      <c r="C23" s="5" t="s">
        <v>59</v>
      </c>
      <c r="D23" s="5" t="s">
        <v>147</v>
      </c>
      <c r="E23" s="5" t="s">
        <v>122</v>
      </c>
      <c r="F23" s="6" t="s">
        <v>148</v>
      </c>
      <c r="G23" s="4" t="n">
        <v>24</v>
      </c>
      <c r="H23" s="7" t="n">
        <v>45141</v>
      </c>
      <c r="I23" s="4" t="n">
        <v>1</v>
      </c>
      <c r="J23" s="7" t="n">
        <f aca="false">DATE(YEAR(H23)+I23,6,31)</f>
        <v>45474</v>
      </c>
      <c r="K23" s="4" t="n">
        <f aca="false">IF(_xlfn.FLOOR.MATH(G23*0.25*I23)&gt;0,_xlfn.FLOOR.MATH(G23*0.25*I23),1)</f>
        <v>6</v>
      </c>
    </row>
    <row r="24" customFormat="false" ht="13.8" hidden="false" customHeight="false" outlineLevel="0" collapsed="false">
      <c r="B24" s="4" t="n">
        <v>21</v>
      </c>
      <c r="C24" s="5" t="s">
        <v>63</v>
      </c>
      <c r="D24" s="5" t="s">
        <v>149</v>
      </c>
      <c r="E24" s="5" t="s">
        <v>24</v>
      </c>
      <c r="F24" s="6" t="s">
        <v>150</v>
      </c>
      <c r="G24" s="4" t="n">
        <v>17</v>
      </c>
      <c r="H24" s="7" t="n">
        <v>45141</v>
      </c>
      <c r="I24" s="4" t="n">
        <v>3</v>
      </c>
      <c r="J24" s="7" t="n">
        <f aca="false">DATE(YEAR(H24)+I24,6,31)</f>
        <v>46204</v>
      </c>
      <c r="K24" s="4" t="n">
        <f aca="false">IF(_xlfn.FLOOR.MATH(G24*0.25*I24)&gt;0,_xlfn.FLOOR.MATH(G24*0.25*I24),1)</f>
        <v>12</v>
      </c>
    </row>
    <row r="25" customFormat="false" ht="13.8" hidden="false" customHeight="false" outlineLevel="0" collapsed="false">
      <c r="B25" s="4" t="n">
        <v>22</v>
      </c>
      <c r="C25" s="5" t="s">
        <v>59</v>
      </c>
      <c r="D25" s="5" t="s">
        <v>151</v>
      </c>
      <c r="E25" s="5" t="s">
        <v>24</v>
      </c>
      <c r="F25" s="6" t="s">
        <v>76</v>
      </c>
      <c r="G25" s="4" t="n">
        <v>10</v>
      </c>
      <c r="H25" s="7" t="n">
        <v>45141</v>
      </c>
      <c r="I25" s="4" t="n">
        <v>2</v>
      </c>
      <c r="J25" s="7" t="n">
        <f aca="false">DATE(YEAR(H25)+I25,6,31)</f>
        <v>45839</v>
      </c>
      <c r="K25" s="4" t="n">
        <f aca="false">IF(_xlfn.FLOOR.MATH(G25*0.25*I25)&gt;0,_xlfn.FLOOR.MATH(G25*0.25*I25),1)</f>
        <v>5</v>
      </c>
    </row>
    <row r="26" customFormat="false" ht="13.8" hidden="false" customHeight="false" outlineLevel="0" collapsed="false">
      <c r="B26" s="4" t="n">
        <v>23</v>
      </c>
      <c r="C26" s="5" t="s">
        <v>59</v>
      </c>
      <c r="D26" s="5" t="s">
        <v>152</v>
      </c>
      <c r="E26" s="5" t="s">
        <v>75</v>
      </c>
      <c r="F26" s="6" t="s">
        <v>153</v>
      </c>
      <c r="G26" s="4" t="n">
        <v>13</v>
      </c>
      <c r="H26" s="7" t="n">
        <v>45141</v>
      </c>
      <c r="I26" s="4" t="n">
        <v>2</v>
      </c>
      <c r="J26" s="7" t="n">
        <f aca="false">DATE(YEAR(H26)+I26,6,31)</f>
        <v>45839</v>
      </c>
      <c r="K26" s="4" t="n">
        <f aca="false">IF(_xlfn.FLOOR.MATH(G26*0.25*I26)&gt;0,_xlfn.FLOOR.MATH(G26*0.25*I26),1)</f>
        <v>6</v>
      </c>
    </row>
    <row r="27" customFormat="false" ht="13.8" hidden="false" customHeight="false" outlineLevel="0" collapsed="false">
      <c r="B27" s="4" t="n">
        <v>24</v>
      </c>
      <c r="C27" s="5" t="s">
        <v>59</v>
      </c>
      <c r="D27" s="5" t="s">
        <v>154</v>
      </c>
      <c r="E27" s="5" t="s">
        <v>24</v>
      </c>
      <c r="F27" s="6" t="s">
        <v>155</v>
      </c>
      <c r="G27" s="4" t="n">
        <v>28</v>
      </c>
      <c r="H27" s="7" t="n">
        <v>45141</v>
      </c>
      <c r="I27" s="4" t="n">
        <v>3</v>
      </c>
      <c r="J27" s="7" t="n">
        <f aca="false">DATE(YEAR(H27)+I27,6,31)</f>
        <v>46204</v>
      </c>
      <c r="K27" s="4" t="n">
        <f aca="false">IF(_xlfn.FLOOR.MATH(G27*0.25*I27)&gt;0,_xlfn.FLOOR.MATH(G27*0.25*I27),1)</f>
        <v>21</v>
      </c>
    </row>
    <row r="28" customFormat="false" ht="13.8" hidden="false" customHeight="false" outlineLevel="0" collapsed="false">
      <c r="B28" s="4" t="n">
        <v>25</v>
      </c>
      <c r="C28" s="5" t="s">
        <v>59</v>
      </c>
      <c r="D28" s="5" t="s">
        <v>156</v>
      </c>
      <c r="E28" s="5" t="s">
        <v>41</v>
      </c>
      <c r="F28" s="6" t="s">
        <v>144</v>
      </c>
      <c r="G28" s="4" t="n">
        <v>12</v>
      </c>
      <c r="H28" s="7" t="n">
        <v>45141</v>
      </c>
      <c r="I28" s="4" t="n">
        <v>3</v>
      </c>
      <c r="J28" s="7" t="n">
        <f aca="false">DATE(YEAR(H28)+I28,6,31)</f>
        <v>46204</v>
      </c>
      <c r="K28" s="4" t="n">
        <f aca="false">IF(_xlfn.FLOOR.MATH(G28*0.25*I28)&gt;0,_xlfn.FLOOR.MATH(G28*0.25*I28),1)</f>
        <v>9</v>
      </c>
    </row>
    <row r="29" customFormat="false" ht="13.8" hidden="false" customHeight="false" outlineLevel="0" collapsed="false">
      <c r="B29" s="4" t="n">
        <v>26</v>
      </c>
      <c r="C29" s="5"/>
      <c r="D29" s="5"/>
      <c r="E29" s="5"/>
      <c r="F29" s="6"/>
      <c r="G29" s="4"/>
      <c r="H29" s="7"/>
      <c r="I29" s="4"/>
      <c r="J29" s="7"/>
      <c r="K29" s="4"/>
    </row>
    <row r="30" customFormat="false" ht="13.8" hidden="false" customHeight="false" outlineLevel="0" collapsed="false">
      <c r="B30" s="4" t="n">
        <v>27</v>
      </c>
      <c r="C30" s="5"/>
      <c r="D30" s="5"/>
      <c r="E30" s="5"/>
      <c r="F30" s="6"/>
      <c r="G30" s="4"/>
      <c r="H30" s="7"/>
      <c r="I30" s="4"/>
      <c r="J30" s="7"/>
      <c r="K30" s="4"/>
    </row>
    <row r="31" customFormat="false" ht="13.8" hidden="false" customHeight="false" outlineLevel="0" collapsed="false">
      <c r="B31" s="4" t="n">
        <v>28</v>
      </c>
      <c r="C31" s="5"/>
      <c r="D31" s="5"/>
      <c r="E31" s="5"/>
      <c r="F31" s="6"/>
      <c r="G31" s="4"/>
      <c r="H31" s="7"/>
      <c r="I31" s="4"/>
      <c r="J31" s="7"/>
      <c r="K31" s="4"/>
    </row>
    <row r="32" customFormat="false" ht="13.8" hidden="false" customHeight="false" outlineLevel="0" collapsed="false">
      <c r="B32" s="4" t="n">
        <v>29</v>
      </c>
      <c r="C32" s="5"/>
      <c r="D32" s="5"/>
      <c r="E32" s="5"/>
      <c r="F32" s="6"/>
      <c r="G32" s="4"/>
      <c r="H32" s="7"/>
      <c r="I32" s="4"/>
      <c r="J32" s="7"/>
      <c r="K32" s="4"/>
    </row>
    <row r="33" customFormat="false" ht="13.8" hidden="false" customHeight="false" outlineLevel="0" collapsed="false">
      <c r="B33" s="4" t="n">
        <v>30</v>
      </c>
      <c r="C33" s="5"/>
      <c r="D33" s="5"/>
      <c r="E33" s="5"/>
      <c r="F33" s="6"/>
      <c r="G33" s="4"/>
      <c r="H33" s="7"/>
      <c r="I33" s="4"/>
      <c r="J33" s="7"/>
      <c r="K33" s="4"/>
    </row>
    <row r="34" customFormat="false" ht="12.8" hidden="false" customHeight="false" outlineLevel="0" collapsed="false">
      <c r="K34" s="1" t="n">
        <f aca="false">200-SUM(K4:K33)</f>
        <v>63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Roman,Normale"&amp;12&amp;A</oddHeader>
    <oddFooter>&amp;C&amp;"Times New Roman,Normale"&amp;12Pagina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69</TotalTime>
  <Application>LibreOffice/7.4.3.2$Windows_X86_64 LibreOffice_project/1048a8393ae2eeec98dff31b5c133c5f1d08b890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2023-08-06T14:40:21Z</dcterms:created>
  <dc:creator/>
  <dc:description/>
  <dc:language>it-IT</dc:language>
  <cp:lastModifiedBy/>
  <dcterms:modified xsi:type="dcterms:W3CDTF">2023-08-06T15:53:47Z</dcterms:modified>
  <cp:revision>10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